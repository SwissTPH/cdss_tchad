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codeName="ThisWorkbook1" autoCompressPictures="0"/>
  <mc:AlternateContent xmlns:mc="http://schemas.openxmlformats.org/markup-compatibility/2006">
    <mc:Choice Requires="x15">
      <x15ac:absPath xmlns:x15ac="http://schemas.microsoft.com/office/spreadsheetml/2010/11/ac" url="C:\Users\delcpa\Development\sysref_cdss\"/>
    </mc:Choice>
  </mc:AlternateContent>
  <bookViews>
    <workbookView xWindow="0" yWindow="0" windowWidth="23040" windowHeight="5340"/>
  </bookViews>
  <sheets>
    <sheet name="formula" sheetId="8" r:id="rId1"/>
  </sheets>
  <functionGroups builtInGroupCount="18"/>
  <definedNames>
    <definedName name="ageTab">Table35[kg]</definedName>
    <definedName name="drugTab">Table2[]</definedName>
    <definedName name="weightTab">Table35[kg]</definedName>
  </definedNames>
  <calcPr calcId="162913"/>
  <fileRecoveryPr autoRecover="0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G1" i="8" l="1"/>
  <c r="K41" i="8"/>
  <c r="H27" i="8" l="1"/>
  <c r="I27" i="8"/>
  <c r="H31" i="8"/>
  <c r="I31" i="8"/>
  <c r="I30" i="8" s="1"/>
  <c r="I29" i="8" s="1"/>
  <c r="I28" i="8" s="1"/>
  <c r="H34" i="8"/>
  <c r="I34" i="8"/>
  <c r="I33" i="8" s="1"/>
  <c r="I32" i="8" s="1"/>
  <c r="H37" i="8"/>
  <c r="H36" i="8" s="1"/>
  <c r="H35" i="8" s="1"/>
  <c r="I37" i="8"/>
  <c r="I36" i="8" s="1"/>
  <c r="I35" i="8" s="1"/>
  <c r="H40" i="8"/>
  <c r="I40" i="8"/>
  <c r="I39" i="8" s="1"/>
  <c r="I38" i="8" s="1"/>
  <c r="H49" i="8"/>
  <c r="H48" i="8" s="1"/>
  <c r="I49" i="8"/>
  <c r="H55" i="8"/>
  <c r="I55" i="8"/>
  <c r="I54" i="8" s="1"/>
  <c r="I53" i="8" s="1"/>
  <c r="I52" i="8" s="1"/>
  <c r="I51" i="8" s="1"/>
  <c r="I50" i="8" s="1"/>
  <c r="H61" i="8"/>
  <c r="I61" i="8"/>
  <c r="I60" i="8" s="1"/>
  <c r="I59" i="8" s="1"/>
  <c r="I58" i="8" s="1"/>
  <c r="I57" i="8" s="1"/>
  <c r="I56" i="8" s="1"/>
  <c r="H67" i="8"/>
  <c r="I67" i="8"/>
  <c r="I66" i="8" s="1"/>
  <c r="I65" i="8" s="1"/>
  <c r="I64" i="8" s="1"/>
  <c r="I63" i="8" s="1"/>
  <c r="I62" i="8" s="1"/>
  <c r="H72" i="8"/>
  <c r="I72" i="8"/>
  <c r="I71" i="8" s="1"/>
  <c r="I70" i="8" s="1"/>
  <c r="I69" i="8" s="1"/>
  <c r="I68" i="8" s="1"/>
  <c r="H77" i="8"/>
  <c r="H76" i="8" s="1"/>
  <c r="H75" i="8" s="1"/>
  <c r="I77" i="8"/>
  <c r="I76" i="8" s="1"/>
  <c r="I75" i="8" s="1"/>
  <c r="I74" i="8" s="1"/>
  <c r="I73" i="8" s="1"/>
  <c r="H79" i="8"/>
  <c r="I79" i="8"/>
  <c r="I78" i="8" s="1"/>
  <c r="H83" i="8"/>
  <c r="H82" i="8" s="1"/>
  <c r="I83" i="8"/>
  <c r="I82" i="8" s="1"/>
  <c r="I81" i="8" s="1"/>
  <c r="I80" i="8" s="1"/>
  <c r="H87" i="8"/>
  <c r="I87" i="8"/>
  <c r="I86" i="8" s="1"/>
  <c r="I85" i="8" s="1"/>
  <c r="I84" i="8" s="1"/>
  <c r="H91" i="8"/>
  <c r="I91" i="8"/>
  <c r="I90" i="8" s="1"/>
  <c r="I89" i="8" s="1"/>
  <c r="I88" i="8" s="1"/>
  <c r="H94" i="8"/>
  <c r="I94" i="8"/>
  <c r="I93" i="8" s="1"/>
  <c r="I92" i="8" s="1"/>
  <c r="H101" i="8"/>
  <c r="H100" i="8" s="1"/>
  <c r="H99" i="8" s="1"/>
  <c r="I101" i="8"/>
  <c r="I100" i="8" s="1"/>
  <c r="I99" i="8" s="1"/>
  <c r="I98" i="8" s="1"/>
  <c r="I97" i="8" s="1"/>
  <c r="I96" i="8" s="1"/>
  <c r="I95" i="8" s="1"/>
  <c r="H107" i="8"/>
  <c r="I107" i="8"/>
  <c r="I106" i="8" s="1"/>
  <c r="I105" i="8" s="1"/>
  <c r="I104" i="8" s="1"/>
  <c r="I103" i="8" s="1"/>
  <c r="I102" i="8" s="1"/>
  <c r="H110" i="8"/>
  <c r="I110" i="8"/>
  <c r="I109" i="8" s="1"/>
  <c r="I108" i="8" s="1"/>
  <c r="H115" i="8"/>
  <c r="H114" i="8" s="1"/>
  <c r="I115" i="8"/>
  <c r="I114" i="8" s="1"/>
  <c r="I113" i="8" s="1"/>
  <c r="I112" i="8" s="1"/>
  <c r="I111" i="8" s="1"/>
  <c r="H120" i="8"/>
  <c r="H119" i="8" s="1"/>
  <c r="I120" i="8"/>
  <c r="I119" i="8" s="1"/>
  <c r="I118" i="8" s="1"/>
  <c r="I117" i="8" s="1"/>
  <c r="I116" i="8" s="1"/>
  <c r="H125" i="8"/>
  <c r="H124" i="8" s="1"/>
  <c r="H123" i="8" s="1"/>
  <c r="H122" i="8" s="1"/>
  <c r="I125" i="8"/>
  <c r="I124" i="8" s="1"/>
  <c r="I123" i="8" s="1"/>
  <c r="I122" i="8" s="1"/>
  <c r="I121" i="8" s="1"/>
  <c r="H130" i="8"/>
  <c r="I130" i="8"/>
  <c r="I129" i="8" s="1"/>
  <c r="I128" i="8" s="1"/>
  <c r="I127" i="8" s="1"/>
  <c r="I126" i="8" s="1"/>
  <c r="H136" i="8"/>
  <c r="H135" i="8" s="1"/>
  <c r="H134" i="8" s="1"/>
  <c r="H133" i="8" s="1"/>
  <c r="I136" i="8"/>
  <c r="I135" i="8" s="1"/>
  <c r="I134" i="8" s="1"/>
  <c r="I133" i="8" s="1"/>
  <c r="I132" i="8" s="1"/>
  <c r="I131" i="8" s="1"/>
  <c r="H145" i="8"/>
  <c r="H144" i="8" s="1"/>
  <c r="H143" i="8" s="1"/>
  <c r="H142" i="8" s="1"/>
  <c r="I145" i="8"/>
  <c r="H154" i="8"/>
  <c r="H153" i="8" s="1"/>
  <c r="H152" i="8" s="1"/>
  <c r="I154" i="8"/>
  <c r="I153" i="8" s="1"/>
  <c r="I152" i="8" s="1"/>
  <c r="I151" i="8" s="1"/>
  <c r="I150" i="8" s="1"/>
  <c r="I149" i="8" s="1"/>
  <c r="I148" i="8" s="1"/>
  <c r="I147" i="8" s="1"/>
  <c r="I146" i="8" s="1"/>
  <c r="H159" i="8"/>
  <c r="H158" i="8" s="1"/>
  <c r="H157" i="8" s="1"/>
  <c r="H156" i="8" s="1"/>
  <c r="I159" i="8"/>
  <c r="I158" i="8" s="1"/>
  <c r="I157" i="8" s="1"/>
  <c r="I156" i="8" s="1"/>
  <c r="I155" i="8" s="1"/>
  <c r="H164" i="8"/>
  <c r="I164" i="8"/>
  <c r="I163" i="8" s="1"/>
  <c r="I162" i="8" s="1"/>
  <c r="I161" i="8" s="1"/>
  <c r="I160" i="8" s="1"/>
  <c r="H168" i="8"/>
  <c r="H167" i="8" s="1"/>
  <c r="I168" i="8"/>
  <c r="I167" i="8" s="1"/>
  <c r="I166" i="8" s="1"/>
  <c r="I165" i="8" s="1"/>
  <c r="H170" i="8"/>
  <c r="H169" i="8" s="1"/>
  <c r="I170" i="8"/>
  <c r="I169" i="8" s="1"/>
  <c r="H172" i="8"/>
  <c r="H171" i="8" s="1"/>
  <c r="I172" i="8"/>
  <c r="I171" i="8" s="1"/>
  <c r="H177" i="8"/>
  <c r="H176" i="8" s="1"/>
  <c r="H175" i="8" s="1"/>
  <c r="H174" i="8" s="1"/>
  <c r="I177" i="8"/>
  <c r="I176" i="8" s="1"/>
  <c r="I175" i="8" s="1"/>
  <c r="I174" i="8" s="1"/>
  <c r="I173" i="8" s="1"/>
  <c r="H182" i="8"/>
  <c r="I182" i="8"/>
  <c r="I181" i="8" s="1"/>
  <c r="I180" i="8" s="1"/>
  <c r="I179" i="8" s="1"/>
  <c r="I178" i="8" s="1"/>
  <c r="H189" i="8"/>
  <c r="I189" i="8"/>
  <c r="I188" i="8" s="1"/>
  <c r="I187" i="8" s="1"/>
  <c r="I186" i="8" s="1"/>
  <c r="I185" i="8" s="1"/>
  <c r="I184" i="8" s="1"/>
  <c r="I183" i="8" s="1"/>
  <c r="H195" i="8"/>
  <c r="I195" i="8"/>
  <c r="I194" i="8" s="1"/>
  <c r="I193" i="8" s="1"/>
  <c r="I192" i="8" s="1"/>
  <c r="I191" i="8" s="1"/>
  <c r="I190" i="8" s="1"/>
  <c r="H201" i="8"/>
  <c r="I201" i="8"/>
  <c r="I200" i="8" s="1"/>
  <c r="I199" i="8" s="1"/>
  <c r="I198" i="8" s="1"/>
  <c r="I197" i="8" s="1"/>
  <c r="I196" i="8" s="1"/>
  <c r="H207" i="8"/>
  <c r="H206" i="8" s="1"/>
  <c r="H205" i="8" s="1"/>
  <c r="I207" i="8"/>
  <c r="I206" i="8" s="1"/>
  <c r="H213" i="8"/>
  <c r="I213" i="8"/>
  <c r="I212" i="8" s="1"/>
  <c r="I211" i="8" s="1"/>
  <c r="I210" i="8" s="1"/>
  <c r="I209" i="8" s="1"/>
  <c r="I208" i="8" s="1"/>
  <c r="H218" i="8"/>
  <c r="H217" i="8" s="1"/>
  <c r="I218" i="8"/>
  <c r="I217" i="8" s="1"/>
  <c r="I216" i="8" s="1"/>
  <c r="I215" i="8" s="1"/>
  <c r="I214" i="8" s="1"/>
  <c r="I222" i="8"/>
  <c r="H223" i="8"/>
  <c r="J223" i="8" s="1"/>
  <c r="I223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K73" i="8"/>
  <c r="K93" i="8"/>
  <c r="K163" i="8"/>
  <c r="K81" i="8"/>
  <c r="K101" i="8"/>
  <c r="K151" i="8"/>
  <c r="K52" i="8"/>
  <c r="K213" i="8"/>
  <c r="K79" i="8"/>
  <c r="K129" i="8"/>
  <c r="K80" i="8"/>
  <c r="K149" i="8"/>
  <c r="K172" i="8"/>
  <c r="K190" i="8"/>
  <c r="K40" i="8"/>
  <c r="K176" i="8"/>
  <c r="K184" i="8"/>
  <c r="K134" i="8"/>
  <c r="K138" i="8"/>
  <c r="K111" i="8"/>
  <c r="K96" i="8"/>
  <c r="K49" i="8"/>
  <c r="K100" i="8"/>
  <c r="K108" i="8"/>
  <c r="K210" i="8"/>
  <c r="K188" i="8"/>
  <c r="K132" i="8"/>
  <c r="K187" i="8"/>
  <c r="K200" i="8"/>
  <c r="K55" i="8"/>
  <c r="K107" i="8"/>
  <c r="K153" i="8"/>
  <c r="K59" i="8"/>
  <c r="K120" i="8"/>
  <c r="K178" i="8"/>
  <c r="K27" i="8"/>
  <c r="K90" i="8"/>
  <c r="K112" i="8"/>
  <c r="K89" i="8"/>
  <c r="K204" i="8"/>
  <c r="K155" i="8"/>
  <c r="K194" i="8"/>
  <c r="K88" i="8"/>
  <c r="K212" i="8"/>
  <c r="K106" i="8"/>
  <c r="K46" i="8"/>
  <c r="K50" i="8"/>
  <c r="K164" i="8"/>
  <c r="K54" i="8"/>
  <c r="K58" i="8"/>
  <c r="K145" i="8"/>
  <c r="K47" i="8"/>
  <c r="K57" i="8"/>
  <c r="K36" i="8"/>
  <c r="K60" i="8"/>
  <c r="K144" i="8"/>
  <c r="K71" i="8"/>
  <c r="K105" i="8"/>
  <c r="K203" i="8"/>
  <c r="K168" i="8"/>
  <c r="K98" i="8"/>
  <c r="K42" i="8"/>
  <c r="K43" i="8"/>
  <c r="K119" i="8"/>
  <c r="K121" i="8"/>
  <c r="K61" i="8"/>
  <c r="K86" i="8"/>
  <c r="K94" i="8"/>
  <c r="K166" i="8"/>
  <c r="K218" i="8"/>
  <c r="K110" i="8"/>
  <c r="K114" i="8"/>
  <c r="K221" i="8"/>
  <c r="K118" i="8"/>
  <c r="K122" i="8"/>
  <c r="K84" i="8"/>
  <c r="K158" i="8"/>
  <c r="K102" i="8"/>
  <c r="K45" i="8"/>
  <c r="K142" i="8"/>
  <c r="K154" i="8"/>
  <c r="K63" i="8"/>
  <c r="K209" i="8"/>
  <c r="K82" i="8"/>
  <c r="K48" i="8"/>
  <c r="K174" i="8"/>
  <c r="K186" i="8"/>
  <c r="K193" i="8"/>
  <c r="K202" i="8"/>
  <c r="K56" i="8"/>
  <c r="K109" i="8"/>
  <c r="K32" i="8"/>
  <c r="K198" i="8"/>
  <c r="K197" i="8"/>
  <c r="K161" i="8"/>
  <c r="K77" i="8"/>
  <c r="K83" i="8"/>
  <c r="K185" i="8"/>
  <c r="K139" i="8"/>
  <c r="K91" i="8"/>
  <c r="K137" i="8"/>
  <c r="K39" i="8"/>
  <c r="K223" i="8"/>
  <c r="K34" i="8"/>
  <c r="K85" i="8"/>
  <c r="K62" i="8"/>
  <c r="K66" i="8"/>
  <c r="K182" i="8"/>
  <c r="K160" i="8"/>
  <c r="K191" i="8"/>
  <c r="K169" i="8"/>
  <c r="K189" i="8"/>
  <c r="K68" i="8"/>
  <c r="K152" i="8"/>
  <c r="K95" i="8"/>
  <c r="K76" i="8"/>
  <c r="K103" i="8"/>
  <c r="K69" i="8"/>
  <c r="K162" i="8"/>
  <c r="K159" i="8"/>
  <c r="K44" i="8"/>
  <c r="K222" i="8"/>
  <c r="K136" i="8"/>
  <c r="K181" i="8"/>
  <c r="K206" i="8"/>
  <c r="K35" i="8"/>
  <c r="K179" i="8"/>
  <c r="K113" i="8"/>
  <c r="K38" i="8"/>
  <c r="K117" i="8"/>
  <c r="K78" i="8"/>
  <c r="K219" i="8"/>
  <c r="K65" i="8"/>
  <c r="K116" i="8"/>
  <c r="K173" i="8"/>
  <c r="K37" i="8"/>
  <c r="K207" i="8"/>
  <c r="K147" i="8"/>
  <c r="K99" i="8"/>
  <c r="K148" i="8"/>
  <c r="K150" i="8"/>
  <c r="K75" i="8"/>
  <c r="K74" i="8"/>
  <c r="K51" i="8"/>
  <c r="K31" i="8"/>
  <c r="K177" i="8"/>
  <c r="K104" i="8"/>
  <c r="K64" i="8"/>
  <c r="K123" i="8"/>
  <c r="K215" i="8"/>
  <c r="K72" i="8"/>
  <c r="K183" i="8"/>
  <c r="K141" i="8"/>
  <c r="K133" i="8"/>
  <c r="K175" i="8"/>
  <c r="K170" i="8"/>
  <c r="K126" i="8"/>
  <c r="K130" i="8"/>
  <c r="K220" i="8"/>
  <c r="K125" i="8"/>
  <c r="K92" i="8"/>
  <c r="K28" i="8"/>
  <c r="K211" i="8"/>
  <c r="K140" i="8"/>
  <c r="K53" i="8"/>
  <c r="K195" i="8"/>
  <c r="K33" i="8"/>
  <c r="K135" i="8"/>
  <c r="K156" i="8"/>
  <c r="K127" i="8"/>
  <c r="K205" i="8"/>
  <c r="K128" i="8"/>
  <c r="K196" i="8"/>
  <c r="K180" i="8"/>
  <c r="K115" i="8"/>
  <c r="K214" i="8"/>
  <c r="K87" i="8"/>
  <c r="K146" i="8"/>
  <c r="K30" i="8"/>
  <c r="K97" i="8"/>
  <c r="K131" i="8"/>
  <c r="K167" i="8"/>
  <c r="K216" i="8"/>
  <c r="K29" i="8"/>
  <c r="K124" i="8"/>
  <c r="K171" i="8"/>
  <c r="K208" i="8"/>
  <c r="K157" i="8"/>
  <c r="K201" i="8"/>
  <c r="K143" i="8"/>
  <c r="K67" i="8"/>
  <c r="K70" i="8"/>
  <c r="K192" i="8"/>
  <c r="K165" i="8"/>
  <c r="K199" i="8"/>
  <c r="K217" i="8"/>
  <c r="J201" i="8" l="1"/>
  <c r="J79" i="8"/>
  <c r="J206" i="8"/>
  <c r="J207" i="8"/>
  <c r="J218" i="8"/>
  <c r="J82" i="8"/>
  <c r="J189" i="8"/>
  <c r="J168" i="8"/>
  <c r="J107" i="8"/>
  <c r="J55" i="8"/>
  <c r="J101" i="8"/>
  <c r="J72" i="8"/>
  <c r="J31" i="8"/>
  <c r="J67" i="8"/>
  <c r="J195" i="8"/>
  <c r="H78" i="8"/>
  <c r="J78" i="8" s="1"/>
  <c r="J170" i="8"/>
  <c r="J164" i="8"/>
  <c r="J87" i="8"/>
  <c r="J77" i="8"/>
  <c r="J217" i="8"/>
  <c r="H216" i="8"/>
  <c r="J216" i="8" s="1"/>
  <c r="J182" i="8"/>
  <c r="J172" i="8"/>
  <c r="J115" i="8"/>
  <c r="H106" i="8"/>
  <c r="J91" i="8"/>
  <c r="J61" i="8"/>
  <c r="J34" i="8"/>
  <c r="H222" i="8"/>
  <c r="H221" i="8" s="1"/>
  <c r="H220" i="8" s="1"/>
  <c r="H200" i="8"/>
  <c r="J200" i="8" s="1"/>
  <c r="J167" i="8"/>
  <c r="H163" i="8"/>
  <c r="J163" i="8" s="1"/>
  <c r="H90" i="8"/>
  <c r="H89" i="8" s="1"/>
  <c r="H60" i="8"/>
  <c r="H59" i="8" s="1"/>
  <c r="J59" i="8" s="1"/>
  <c r="J40" i="8"/>
  <c r="J177" i="8"/>
  <c r="J171" i="8"/>
  <c r="J120" i="8"/>
  <c r="J213" i="8"/>
  <c r="H166" i="8"/>
  <c r="H165" i="8" s="1"/>
  <c r="J165" i="8" s="1"/>
  <c r="J119" i="8"/>
  <c r="H86" i="8"/>
  <c r="J86" i="8" s="1"/>
  <c r="H54" i="8"/>
  <c r="H53" i="8" s="1"/>
  <c r="J37" i="8"/>
  <c r="H30" i="8"/>
  <c r="H29" i="8" s="1"/>
  <c r="J169" i="8"/>
  <c r="J124" i="8"/>
  <c r="J36" i="8"/>
  <c r="J135" i="8"/>
  <c r="J125" i="8"/>
  <c r="H118" i="8"/>
  <c r="J83" i="8"/>
  <c r="J76" i="8"/>
  <c r="H66" i="8"/>
  <c r="H65" i="8" s="1"/>
  <c r="J27" i="8"/>
  <c r="L172" i="8"/>
  <c r="L171" i="8" s="1"/>
  <c r="L223" i="8"/>
  <c r="L207" i="8"/>
  <c r="L145" i="8"/>
  <c r="L144" i="8" s="1"/>
  <c r="L143" i="8" s="1"/>
  <c r="L142" i="8" s="1"/>
  <c r="L141" i="8" s="1"/>
  <c r="L140" i="8" s="1"/>
  <c r="L139" i="8" s="1"/>
  <c r="L138" i="8" s="1"/>
  <c r="L137" i="8" s="1"/>
  <c r="L79" i="8"/>
  <c r="L78" i="8" s="1"/>
  <c r="L31" i="8"/>
  <c r="L30" i="8" s="1"/>
  <c r="L29" i="8" s="1"/>
  <c r="L28" i="8" s="1"/>
  <c r="L218" i="8"/>
  <c r="L217" i="8" s="1"/>
  <c r="L216" i="8" s="1"/>
  <c r="L215" i="8" s="1"/>
  <c r="L214" i="8" s="1"/>
  <c r="L189" i="8"/>
  <c r="L188" i="8" s="1"/>
  <c r="L187" i="8" s="1"/>
  <c r="L186" i="8" s="1"/>
  <c r="L185" i="8" s="1"/>
  <c r="L184" i="8" s="1"/>
  <c r="L183" i="8" s="1"/>
  <c r="L213" i="8"/>
  <c r="L212" i="8" s="1"/>
  <c r="L211" i="8" s="1"/>
  <c r="L210" i="8" s="1"/>
  <c r="L209" i="8" s="1"/>
  <c r="L208" i="8" s="1"/>
  <c r="L182" i="8"/>
  <c r="L181" i="8" s="1"/>
  <c r="L180" i="8" s="1"/>
  <c r="L179" i="8" s="1"/>
  <c r="L178" i="8" s="1"/>
  <c r="L164" i="8"/>
  <c r="L163" i="8" s="1"/>
  <c r="L162" i="8" s="1"/>
  <c r="L161" i="8" s="1"/>
  <c r="L160" i="8" s="1"/>
  <c r="L195" i="8"/>
  <c r="L194" i="8" s="1"/>
  <c r="L193" i="8" s="1"/>
  <c r="L192" i="8" s="1"/>
  <c r="L191" i="8" s="1"/>
  <c r="L190" i="8" s="1"/>
  <c r="L159" i="8"/>
  <c r="L158" i="8" s="1"/>
  <c r="L157" i="8" s="1"/>
  <c r="L156" i="8" s="1"/>
  <c r="L155" i="8" s="1"/>
  <c r="L115" i="8"/>
  <c r="L114" i="8" s="1"/>
  <c r="L113" i="8" s="1"/>
  <c r="L112" i="8" s="1"/>
  <c r="L111" i="8" s="1"/>
  <c r="L222" i="8"/>
  <c r="L221" i="8" s="1"/>
  <c r="L220" i="8" s="1"/>
  <c r="L219" i="8" s="1"/>
  <c r="L206" i="8"/>
  <c r="L205" i="8" s="1"/>
  <c r="L204" i="8" s="1"/>
  <c r="L203" i="8" s="1"/>
  <c r="L202" i="8" s="1"/>
  <c r="L55" i="8"/>
  <c r="L54" i="8" s="1"/>
  <c r="L53" i="8" s="1"/>
  <c r="L52" i="8" s="1"/>
  <c r="L51" i="8" s="1"/>
  <c r="L50" i="8" s="1"/>
  <c r="L201" i="8"/>
  <c r="L200" i="8" s="1"/>
  <c r="L199" i="8" s="1"/>
  <c r="L198" i="8" s="1"/>
  <c r="L197" i="8" s="1"/>
  <c r="L196" i="8" s="1"/>
  <c r="L177" i="8"/>
  <c r="L176" i="8" s="1"/>
  <c r="L175" i="8" s="1"/>
  <c r="L174" i="8" s="1"/>
  <c r="L173" i="8" s="1"/>
  <c r="L87" i="8"/>
  <c r="L86" i="8" s="1"/>
  <c r="L85" i="8" s="1"/>
  <c r="L84" i="8" s="1"/>
  <c r="L170" i="8"/>
  <c r="L169" i="8" s="1"/>
  <c r="L154" i="8"/>
  <c r="L153" i="8" s="1"/>
  <c r="L152" i="8" s="1"/>
  <c r="L151" i="8" s="1"/>
  <c r="L150" i="8" s="1"/>
  <c r="L149" i="8" s="1"/>
  <c r="L148" i="8" s="1"/>
  <c r="L147" i="8" s="1"/>
  <c r="L146" i="8" s="1"/>
  <c r="L130" i="8"/>
  <c r="L129" i="8" s="1"/>
  <c r="L128" i="8" s="1"/>
  <c r="L127" i="8" s="1"/>
  <c r="L126" i="8" s="1"/>
  <c r="L34" i="8"/>
  <c r="L33" i="8" s="1"/>
  <c r="L32" i="8" s="1"/>
  <c r="L125" i="8"/>
  <c r="L124" i="8" s="1"/>
  <c r="L123" i="8" s="1"/>
  <c r="L122" i="8" s="1"/>
  <c r="L121" i="8" s="1"/>
  <c r="L101" i="8"/>
  <c r="L100" i="8" s="1"/>
  <c r="L99" i="8" s="1"/>
  <c r="L98" i="8" s="1"/>
  <c r="L97" i="8" s="1"/>
  <c r="L96" i="8" s="1"/>
  <c r="L95" i="8" s="1"/>
  <c r="L77" i="8"/>
  <c r="L76" i="8" s="1"/>
  <c r="L75" i="8" s="1"/>
  <c r="L74" i="8" s="1"/>
  <c r="L73" i="8" s="1"/>
  <c r="L61" i="8"/>
  <c r="L60" i="8" s="1"/>
  <c r="L59" i="8" s="1"/>
  <c r="L58" i="8" s="1"/>
  <c r="L57" i="8" s="1"/>
  <c r="L56" i="8" s="1"/>
  <c r="L37" i="8"/>
  <c r="L36" i="8" s="1"/>
  <c r="L35" i="8" s="1"/>
  <c r="L168" i="8"/>
  <c r="L167" i="8" s="1"/>
  <c r="L166" i="8" s="1"/>
  <c r="L165" i="8" s="1"/>
  <c r="L136" i="8"/>
  <c r="L135" i="8" s="1"/>
  <c r="L134" i="8" s="1"/>
  <c r="L133" i="8" s="1"/>
  <c r="L132" i="8" s="1"/>
  <c r="L131" i="8" s="1"/>
  <c r="L120" i="8"/>
  <c r="L119" i="8" s="1"/>
  <c r="L118" i="8" s="1"/>
  <c r="L117" i="8" s="1"/>
  <c r="L116" i="8" s="1"/>
  <c r="L72" i="8"/>
  <c r="L71" i="8" s="1"/>
  <c r="L70" i="8" s="1"/>
  <c r="L69" i="8" s="1"/>
  <c r="L68" i="8" s="1"/>
  <c r="L40" i="8"/>
  <c r="L39" i="8" s="1"/>
  <c r="L38" i="8" s="1"/>
  <c r="L107" i="8"/>
  <c r="L106" i="8" s="1"/>
  <c r="L105" i="8" s="1"/>
  <c r="L104" i="8" s="1"/>
  <c r="L103" i="8" s="1"/>
  <c r="L102" i="8" s="1"/>
  <c r="L91" i="8"/>
  <c r="L90" i="8" s="1"/>
  <c r="L89" i="8" s="1"/>
  <c r="L88" i="8" s="1"/>
  <c r="L83" i="8"/>
  <c r="L82" i="8" s="1"/>
  <c r="L81" i="8" s="1"/>
  <c r="L80" i="8" s="1"/>
  <c r="L67" i="8"/>
  <c r="L66" i="8" s="1"/>
  <c r="L65" i="8" s="1"/>
  <c r="L64" i="8" s="1"/>
  <c r="L63" i="8" s="1"/>
  <c r="L62" i="8" s="1"/>
  <c r="L27" i="8"/>
  <c r="L110" i="8"/>
  <c r="L109" i="8" s="1"/>
  <c r="L108" i="8" s="1"/>
  <c r="L94" i="8"/>
  <c r="L93" i="8" s="1"/>
  <c r="L92" i="8" s="1"/>
  <c r="L49" i="8"/>
  <c r="L48" i="8" s="1"/>
  <c r="L47" i="8" s="1"/>
  <c r="L46" i="8" s="1"/>
  <c r="L45" i="8" s="1"/>
  <c r="L44" i="8" s="1"/>
  <c r="L43" i="8" s="1"/>
  <c r="L42" i="8" s="1"/>
  <c r="L41" i="8" s="1"/>
  <c r="H173" i="8"/>
  <c r="J173" i="8" s="1"/>
  <c r="J174" i="8"/>
  <c r="H151" i="8"/>
  <c r="J152" i="8"/>
  <c r="H219" i="8"/>
  <c r="H141" i="8"/>
  <c r="J156" i="8"/>
  <c r="H155" i="8"/>
  <c r="J155" i="8" s="1"/>
  <c r="J133" i="8"/>
  <c r="H132" i="8"/>
  <c r="J158" i="8"/>
  <c r="J136" i="8"/>
  <c r="J122" i="8"/>
  <c r="H121" i="8"/>
  <c r="J121" i="8" s="1"/>
  <c r="J114" i="8"/>
  <c r="J100" i="8"/>
  <c r="J54" i="8"/>
  <c r="J153" i="8"/>
  <c r="J118" i="8"/>
  <c r="H117" i="8"/>
  <c r="J99" i="8"/>
  <c r="H98" i="8"/>
  <c r="J145" i="8"/>
  <c r="I144" i="8"/>
  <c r="I143" i="8" s="1"/>
  <c r="I142" i="8" s="1"/>
  <c r="I141" i="8" s="1"/>
  <c r="I140" i="8" s="1"/>
  <c r="I139" i="8" s="1"/>
  <c r="I138" i="8" s="1"/>
  <c r="I137" i="8" s="1"/>
  <c r="H212" i="8"/>
  <c r="J157" i="8"/>
  <c r="J106" i="8"/>
  <c r="J75" i="8"/>
  <c r="H74" i="8"/>
  <c r="H204" i="8"/>
  <c r="H188" i="8"/>
  <c r="H181" i="8"/>
  <c r="H215" i="8"/>
  <c r="H199" i="8"/>
  <c r="J176" i="8"/>
  <c r="J66" i="8"/>
  <c r="J49" i="8"/>
  <c r="I48" i="8"/>
  <c r="I47" i="8" s="1"/>
  <c r="I46" i="8" s="1"/>
  <c r="I45" i="8" s="1"/>
  <c r="I44" i="8" s="1"/>
  <c r="I43" i="8" s="1"/>
  <c r="I42" i="8" s="1"/>
  <c r="I41" i="8" s="1"/>
  <c r="J35" i="8"/>
  <c r="J130" i="8"/>
  <c r="H129" i="8"/>
  <c r="I221" i="8"/>
  <c r="I220" i="8" s="1"/>
  <c r="I219" i="8" s="1"/>
  <c r="I205" i="8"/>
  <c r="I204" i="8" s="1"/>
  <c r="I203" i="8" s="1"/>
  <c r="I202" i="8" s="1"/>
  <c r="H194" i="8"/>
  <c r="J175" i="8"/>
  <c r="J123" i="8"/>
  <c r="J110" i="8"/>
  <c r="H109" i="8"/>
  <c r="J90" i="8"/>
  <c r="J154" i="8"/>
  <c r="J159" i="8"/>
  <c r="J134" i="8"/>
  <c r="J94" i="8"/>
  <c r="H93" i="8"/>
  <c r="H113" i="8"/>
  <c r="H105" i="8"/>
  <c r="H81" i="8"/>
  <c r="H33" i="8"/>
  <c r="H71" i="8"/>
  <c r="H47" i="8"/>
  <c r="H39" i="8"/>
  <c r="C18" i="8"/>
  <c r="C17" i="8" s="1"/>
  <c r="C16" i="8" s="1"/>
  <c r="C15" i="8" s="1"/>
  <c r="C14" i="8" s="1"/>
  <c r="C13" i="8" s="1"/>
  <c r="C12" i="8" s="1"/>
  <c r="C11" i="8" s="1"/>
  <c r="C10" i="8" s="1"/>
  <c r="C9" i="8" s="1"/>
  <c r="C8" i="8" s="1"/>
  <c r="C7" i="8" s="1"/>
  <c r="C6" i="8" s="1"/>
  <c r="C5" i="8" s="1"/>
  <c r="C4" i="8" s="1"/>
  <c r="C3" i="8" s="1"/>
  <c r="C19" i="8"/>
  <c r="J166" i="8" l="1"/>
  <c r="H162" i="8"/>
  <c r="J30" i="8"/>
  <c r="J143" i="8"/>
  <c r="J144" i="8"/>
  <c r="J60" i="8"/>
  <c r="J222" i="8"/>
  <c r="H85" i="8"/>
  <c r="H84" i="8" s="1"/>
  <c r="J84" i="8" s="1"/>
  <c r="H58" i="8"/>
  <c r="J58" i="8" s="1"/>
  <c r="J48" i="8"/>
  <c r="J105" i="8"/>
  <c r="H104" i="8"/>
  <c r="J221" i="8"/>
  <c r="J98" i="8"/>
  <c r="H97" i="8"/>
  <c r="H161" i="8"/>
  <c r="J162" i="8"/>
  <c r="J151" i="8"/>
  <c r="H150" i="8"/>
  <c r="J39" i="8"/>
  <c r="H38" i="8"/>
  <c r="J38" i="8" s="1"/>
  <c r="J113" i="8"/>
  <c r="H112" i="8"/>
  <c r="J194" i="8"/>
  <c r="H193" i="8"/>
  <c r="J181" i="8"/>
  <c r="H180" i="8"/>
  <c r="J142" i="8"/>
  <c r="J47" i="8"/>
  <c r="H46" i="8"/>
  <c r="J93" i="8"/>
  <c r="H92" i="8"/>
  <c r="J92" i="8" s="1"/>
  <c r="H187" i="8"/>
  <c r="J188" i="8"/>
  <c r="H211" i="8"/>
  <c r="J212" i="8"/>
  <c r="J117" i="8"/>
  <c r="H116" i="8"/>
  <c r="J116" i="8" s="1"/>
  <c r="J141" i="8"/>
  <c r="H140" i="8"/>
  <c r="J89" i="8"/>
  <c r="H88" i="8"/>
  <c r="J88" i="8" s="1"/>
  <c r="J71" i="8"/>
  <c r="H70" i="8"/>
  <c r="J109" i="8"/>
  <c r="H108" i="8"/>
  <c r="J108" i="8" s="1"/>
  <c r="H203" i="8"/>
  <c r="J204" i="8"/>
  <c r="J205" i="8"/>
  <c r="J33" i="8"/>
  <c r="H32" i="8"/>
  <c r="J32" i="8" s="1"/>
  <c r="J129" i="8"/>
  <c r="H128" i="8"/>
  <c r="J74" i="8"/>
  <c r="H73" i="8"/>
  <c r="J73" i="8" s="1"/>
  <c r="J220" i="8"/>
  <c r="J53" i="8"/>
  <c r="H52" i="8"/>
  <c r="H131" i="8"/>
  <c r="J131" i="8" s="1"/>
  <c r="J132" i="8"/>
  <c r="J219" i="8"/>
  <c r="J215" i="8"/>
  <c r="H214" i="8"/>
  <c r="J214" i="8" s="1"/>
  <c r="J65" i="8"/>
  <c r="H64" i="8"/>
  <c r="J81" i="8"/>
  <c r="H80" i="8"/>
  <c r="J80" i="8" s="1"/>
  <c r="J29" i="8"/>
  <c r="H28" i="8"/>
  <c r="J28" i="8" s="1"/>
  <c r="J199" i="8"/>
  <c r="H198" i="8"/>
  <c r="C2" i="8"/>
  <c r="K26" i="8"/>
  <c r="K25" i="8"/>
  <c r="J85" i="8" l="1"/>
  <c r="H57" i="8"/>
  <c r="J57" i="8" s="1"/>
  <c r="H51" i="8"/>
  <c r="J52" i="8"/>
  <c r="J64" i="8"/>
  <c r="H63" i="8"/>
  <c r="J187" i="8"/>
  <c r="H186" i="8"/>
  <c r="H192" i="8"/>
  <c r="J193" i="8"/>
  <c r="J198" i="8"/>
  <c r="H197" i="8"/>
  <c r="J203" i="8"/>
  <c r="H202" i="8"/>
  <c r="J202" i="8" s="1"/>
  <c r="J112" i="8"/>
  <c r="H111" i="8"/>
  <c r="J111" i="8" s="1"/>
  <c r="J97" i="8"/>
  <c r="H96" i="8"/>
  <c r="J161" i="8"/>
  <c r="H160" i="8"/>
  <c r="J160" i="8" s="1"/>
  <c r="J46" i="8"/>
  <c r="H45" i="8"/>
  <c r="H127" i="8"/>
  <c r="J128" i="8"/>
  <c r="H139" i="8"/>
  <c r="J140" i="8"/>
  <c r="J70" i="8"/>
  <c r="H69" i="8"/>
  <c r="J104" i="8"/>
  <c r="H103" i="8"/>
  <c r="J211" i="8"/>
  <c r="H210" i="8"/>
  <c r="J180" i="8"/>
  <c r="H179" i="8"/>
  <c r="H149" i="8"/>
  <c r="J150" i="8"/>
  <c r="L25" i="8"/>
  <c r="L26" i="8"/>
  <c r="I26" i="8"/>
  <c r="B26" i="8"/>
  <c r="B25" i="8"/>
  <c r="H56" i="8" l="1"/>
  <c r="J56" i="8" s="1"/>
  <c r="H178" i="8"/>
  <c r="J178" i="8" s="1"/>
  <c r="J179" i="8"/>
  <c r="J210" i="8"/>
  <c r="H209" i="8"/>
  <c r="J96" i="8"/>
  <c r="H95" i="8"/>
  <c r="J95" i="8" s="1"/>
  <c r="J139" i="8"/>
  <c r="H138" i="8"/>
  <c r="J192" i="8"/>
  <c r="H191" i="8"/>
  <c r="J51" i="8"/>
  <c r="H50" i="8"/>
  <c r="J50" i="8" s="1"/>
  <c r="J186" i="8"/>
  <c r="H185" i="8"/>
  <c r="J127" i="8"/>
  <c r="H126" i="8"/>
  <c r="J126" i="8" s="1"/>
  <c r="J103" i="8"/>
  <c r="H102" i="8"/>
  <c r="J102" i="8" s="1"/>
  <c r="J45" i="8"/>
  <c r="H44" i="8"/>
  <c r="J63" i="8"/>
  <c r="H62" i="8"/>
  <c r="J62" i="8" s="1"/>
  <c r="J69" i="8"/>
  <c r="H68" i="8"/>
  <c r="J68" i="8" s="1"/>
  <c r="J197" i="8"/>
  <c r="H196" i="8"/>
  <c r="J196" i="8" s="1"/>
  <c r="J149" i="8"/>
  <c r="H148" i="8"/>
  <c r="I25" i="8"/>
  <c r="H26" i="8"/>
  <c r="J191" i="8" l="1"/>
  <c r="H190" i="8"/>
  <c r="J190" i="8" s="1"/>
  <c r="H137" i="8"/>
  <c r="J137" i="8" s="1"/>
  <c r="J138" i="8"/>
  <c r="H184" i="8"/>
  <c r="J185" i="8"/>
  <c r="H147" i="8"/>
  <c r="J148" i="8"/>
  <c r="H43" i="8"/>
  <c r="J44" i="8"/>
  <c r="H208" i="8"/>
  <c r="J208" i="8" s="1"/>
  <c r="J209" i="8"/>
  <c r="J26" i="8"/>
  <c r="H25" i="8"/>
  <c r="J25" i="8" s="1"/>
  <c r="J43" i="8" l="1"/>
  <c r="H42" i="8"/>
  <c r="H183" i="8"/>
  <c r="J183" i="8" s="1"/>
  <c r="J184" i="8"/>
  <c r="J147" i="8"/>
  <c r="H146" i="8"/>
  <c r="J146" i="8" s="1"/>
  <c r="J42" i="8" l="1"/>
  <c r="H41" i="8"/>
  <c r="J41" i="8" s="1"/>
</calcChain>
</file>

<file path=xl/sharedStrings.xml><?xml version="1.0" encoding="utf-8"?>
<sst xmlns="http://schemas.openxmlformats.org/spreadsheetml/2006/main" count="260" uniqueCount="72">
  <si>
    <t>Min_weight_kg</t>
  </si>
  <si>
    <t>Max_weight_kg</t>
  </si>
  <si>
    <t>Min_age_months</t>
  </si>
  <si>
    <t>Max_age_months</t>
  </si>
  <si>
    <t>1/4</t>
  </si>
  <si>
    <t>1/2</t>
  </si>
  <si>
    <t>100-200</t>
  </si>
  <si>
    <t>50-100</t>
  </si>
  <si>
    <t>2.5 (1/2 c.à.c)</t>
  </si>
  <si>
    <t>2.00 (&lt;1/2 c.à.c)</t>
  </si>
  <si>
    <t>1.25 (1/4 c.à.c)</t>
  </si>
  <si>
    <t>1.00 (&lt;1/4 c.à.c)</t>
  </si>
  <si>
    <t>200-400</t>
  </si>
  <si>
    <t>400-1000</t>
  </si>
  <si>
    <t>1000-1200</t>
  </si>
  <si>
    <t>1200-1900</t>
  </si>
  <si>
    <t>drug</t>
  </si>
  <si>
    <t>rate</t>
  </si>
  <si>
    <t>Hydro_A</t>
  </si>
  <si>
    <t>Hydro_B</t>
  </si>
  <si>
    <t>vitA_200000</t>
  </si>
  <si>
    <t>vitA_100000</t>
  </si>
  <si>
    <t>Formula weight</t>
  </si>
  <si>
    <t>ruft</t>
  </si>
  <si>
    <t>diazepam_ml</t>
  </si>
  <si>
    <t>complete formula</t>
  </si>
  <si>
    <t>lookup</t>
  </si>
  <si>
    <t>phenobarbital_15_ml</t>
  </si>
  <si>
    <t>phenobarbital_5_ml</t>
  </si>
  <si>
    <t>zinc_tab</t>
  </si>
  <si>
    <t>Formula Age</t>
  </si>
  <si>
    <t>erythromycin_ml</t>
  </si>
  <si>
    <t>erythromycin_tab</t>
  </si>
  <si>
    <t>ciprofloxacin_tab</t>
  </si>
  <si>
    <t>penicillin_ml</t>
  </si>
  <si>
    <t>penicillin_tab</t>
  </si>
  <si>
    <t>cotrimoxazole_ml</t>
  </si>
  <si>
    <t>cotrimoxazole_tab</t>
  </si>
  <si>
    <t>ampicillin_ml</t>
  </si>
  <si>
    <t>paracetamol_ml</t>
  </si>
  <si>
    <t>paracetamol_tab</t>
  </si>
  <si>
    <t>iron_ml</t>
  </si>
  <si>
    <t>iron_tab</t>
  </si>
  <si>
    <t>gentamicin_ml</t>
  </si>
  <si>
    <t>quinine_iv_ml</t>
  </si>
  <si>
    <t>drugString</t>
  </si>
  <si>
    <t>kg</t>
  </si>
  <si>
    <t>Column1</t>
  </si>
  <si>
    <t>drugStringLine</t>
  </si>
  <si>
    <t>weightclass</t>
  </si>
  <si>
    <t>artemether_im_ml</t>
  </si>
  <si>
    <t>artesunate_iv_ml</t>
  </si>
  <si>
    <t>artesunate_im_ml</t>
  </si>
  <si>
    <t>as_100_aq_270_tab</t>
  </si>
  <si>
    <t>as_50_aq_135_tab</t>
  </si>
  <si>
    <t>as_25_aq_67_tab</t>
  </si>
  <si>
    <t>am_lu_tab</t>
  </si>
  <si>
    <t>vitA_25000</t>
  </si>
  <si>
    <t>ceftriaxon_80_ml</t>
  </si>
  <si>
    <t>ceftriaxon_100_ml</t>
  </si>
  <si>
    <t>--</t>
  </si>
  <si>
    <t>azithromycin_ml</t>
  </si>
  <si>
    <t>azithromycin_tab</t>
  </si>
  <si>
    <t>amoxicillin_40_tab</t>
  </si>
  <si>
    <t>amoxicillin_25_tab</t>
  </si>
  <si>
    <t>amoxicillin_40_ml</t>
  </si>
  <si>
    <t>amoxicillin_25_ml</t>
  </si>
  <si>
    <t>1+1/2</t>
  </si>
  <si>
    <t>2+1/5</t>
  </si>
  <si>
    <t>-</t>
  </si>
  <si>
    <t>0</t>
  </si>
  <si>
    <t>artesunate_rectal_100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</si>
</sst>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2"/>
      <color indexed="8"/>
      <name val="Calibri"/>
      <family val="2"/>
    </font>
    <font>
      <sz val="12"/>
      <color theme="1"/>
      <name val="Calibri"/>
      <family val="2"/>
      <charset val="129"/>
      <scheme val="minor"/>
    </font>
    <font>
      <b/>
      <sz val="12"/>
      <color indexed="8"/>
      <name val="Calibri"/>
      <family val="2"/>
      <scheme val="minor"/>
    </font>
    <font>
      <u/>
      <sz val="12"/>
      <color theme="11"/>
      <name val="Calibri"/>
      <family val="2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08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3" borderId="0" applyAlignment="0">
      <alignment vertical="center"/>
    </xf>
  </cellStyleXfs>
  <cellXfs count="5">
    <xf numFmtId="0" fontId="0" fillId="0" borderId="0" xfId="0"/>
    <xf numFmtId="0" fontId="2" fillId="2" borderId="0" xfId="0" applyFont="1" applyFill="1"/>
    <xf numFmtId="0" fontId="0" fillId="0" borderId="0" xfId="0" applyNumberFormat="1"/>
    <xf numFmtId="0" fontId="0" fillId="0" borderId="0" xfId="0" quotePrefix="1"/>
    <xf numFmtId="16" fontId="0" fillId="0" borderId="0" xfId="0" quotePrefix="1" applyNumberFormat="1"/>
  </cellXfs>
  <cellStyles count="108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Group" xfId="107"/>
    <cellStyle name="Normal" xfId="0" builtinId="0"/>
    <cellStyle name="Normal 2" xfId="1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auto="1"/>
      </font>
      <fill>
        <patternFill patternType="solid">
          <fgColor indexed="64"/>
          <bgColor rgb="FF92D050"/>
        </patternFill>
      </fill>
      <border>
        <top style="thin">
          <color auto="1"/>
        </top>
      </border>
    </dxf>
    <dxf>
      <font>
        <color auto="1"/>
      </font>
      <fill>
        <patternFill patternType="solid">
          <fgColor indexed="64"/>
          <bgColor rgb="FF92D050"/>
        </patternFill>
      </fill>
      <border>
        <top style="thin">
          <color auto="1"/>
        </top>
      </border>
    </dxf>
    <dxf>
      <font>
        <color auto="1"/>
      </font>
      <fill>
        <patternFill patternType="solid">
          <fgColor indexed="64"/>
          <bgColor rgb="FF92D050"/>
        </patternFill>
      </fill>
      <border>
        <top style="thin">
          <color auto="1"/>
        </top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9E"/>
      <color rgb="FF7030A0"/>
      <color rgb="FFB1A0C7"/>
      <color rgb="FFE0A5A4"/>
      <color rgb="FFC2514E"/>
      <color rgb="FFE6B9B8"/>
      <color rgb="FFCC706E"/>
      <color rgb="FFFFB3CC"/>
      <color rgb="FFF2DBDA"/>
      <color rgb="FFE1AA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2" displayName="Table2" ref="A24:L224" totalsRowShown="0">
  <autoFilter ref="A24:L224"/>
  <tableColumns count="12">
    <tableColumn id="1" name="drug"/>
    <tableColumn id="12" name="lookup" dataDxfId="6">
      <calculatedColumnFormula>IF(Table2[[#This Row],[drug]]&lt;&gt;A24,Table2[[#This Row],[drug]],"")</calculatedColumnFormula>
    </tableColumn>
    <tableColumn id="2" name="Min_weight_kg"/>
    <tableColumn id="3" name="Max_weight_kg"/>
    <tableColumn id="7" name="Min_age_months"/>
    <tableColumn id="6" name="Max_age_months"/>
    <tableColumn id="4" name="rate"/>
    <tableColumn id="5" name="Formula weight" dataDxfId="5">
      <calculatedColumnFormula>CONCATENATE("if(${p_weight_age}&gt;=",Table2[[#This Row],[Min_weight_kg]]," and ${p_weight_age}&lt;",Table2[[#This Row],[Max_weight_kg]],",""",Table2[[#This Row],[rate]],""",",IF(Table2[[#This Row],[drug]]=A26,H26,"""--"""),")")</calculatedColumnFormula>
    </tableColumn>
    <tableColumn id="8" name="Formula Age" dataDxfId="4">
      <calculatedColumnFormula>CONCATENATE("if(${p_age}&gt;=",Table2[[#This Row],[Min_age_months]]," and ${p_age}&lt;",Table2[[#This Row],[Max_age_months]],",""",Table2[[#This Row],[rate]],""",",IF(Table2[[#This Row],[drug]]=A26,I26,"""--"""),")")</calculatedColumnFormula>
    </tableColumn>
    <tableColumn id="11" name="complete formula" dataDxfId="3">
      <calculatedColumnFormula>CONCATENATE("if(${p_weight}&gt;0,",Table2[[#This Row],[Formula weight]],",",Table2[[#This Row],[Formula Age]],")")</calculatedColumnFormula>
    </tableColumn>
    <tableColumn id="9" name="drugStringLine" dataDxfId="2">
      <calculatedColumnFormula>GenerateDrugString(Table2[[#This Row],[Min_weight_kg]],Table2[[#This Row],[Max_weight_kg]],Table2[[#This Row],[rate]],Table35[kg])</calculatedColumnFormula>
    </tableColumn>
    <tableColumn id="10" name="drugString" dataDxfId="1">
      <calculatedColumnFormula>CONCATENATE(Table2[[#This Row],[drugStringLine]],IF(TRIM(Table2[[#This Row],[drugStringLine]])="",""," "),IF(Table2[[#This Row],[drug]]=A26,L26,""))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Table35" displayName="Table35" ref="A1:C19" totalsRowShown="0">
  <autoFilter ref="A1:C19"/>
  <tableColumns count="3">
    <tableColumn id="3" name="weightclass"/>
    <tableColumn id="1" name="kg"/>
    <tableColumn id="2" name="Column1" dataDxfId="0">
      <calculatedColumnFormula>CONCATENATE("if(${p_weight_age}&gt;=",Table35[[#This Row],[kg]]," and ${p_weight_age}&lt;",B3,",",Table35[[#This Row],[weightclass]],",",IF(A3="",0,C3),")")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L229"/>
  <sheetViews>
    <sheetView tabSelected="1" topLeftCell="A83" zoomScale="175" zoomScaleNormal="175" workbookViewId="0">
      <selection activeCell="A95" sqref="A95"/>
    </sheetView>
  </sheetViews>
  <sheetFormatPr defaultRowHeight="15.75"/>
  <cols>
    <col min="1" max="1" width="20.5" customWidth="1"/>
    <col min="2" max="2" width="17.625" customWidth="1"/>
    <col min="3" max="3" width="3.75" customWidth="1"/>
    <col min="4" max="4" width="4" customWidth="1"/>
    <col min="5" max="5" width="3.375" customWidth="1"/>
    <col min="6" max="6" width="3.5" customWidth="1"/>
    <col min="7" max="7" width="11.75" customWidth="1"/>
    <col min="8" max="8" width="13.375" customWidth="1"/>
    <col min="9" max="9" width="11" customWidth="1"/>
    <col min="11" max="11" width="12" customWidth="1"/>
  </cols>
  <sheetData>
    <row r="1" spans="1:7">
      <c r="A1" t="s">
        <v>49</v>
      </c>
      <c r="B1" t="s">
        <v>46</v>
      </c>
      <c r="C1" t="s">
        <v>47</v>
      </c>
      <c r="G1" t="str">
        <f>CONCATENATE("if(${patient_conf}=1,",C2,",0)")</f>
        <v>if(${patient_conf}=1,if(${p_weight_age}&gt;=0 and ${p_weight_age}&lt;3,0,if(${p_weight_age}&gt;=3 and ${p_weight_age}&lt;3.5,1,if(${p_weight_age}&gt;=3.5 and ${p_weight_age}&lt;4,2,if(${p_weight_age}&gt;=4 and ${p_weight_age}&lt;4.5,3,if(${p_weight_age}&gt;=4.5 and ${p_weight_age}&lt;5,4,if(${p_weight_age}&gt;=5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${p_weight_age}&lt;99,16,0))))))))))))))))),0)</v>
      </c>
    </row>
    <row r="2" spans="1:7">
      <c r="A2">
        <v>0</v>
      </c>
      <c r="B2">
        <v>0</v>
      </c>
      <c r="C2" s="2" t="str">
        <f>CONCATENATE("if(${p_weight_age}&gt;=",Table35[[#This Row],[kg]]," and ${p_weight_age}&lt;",B3,",",Table35[[#This Row],[weightclass]],",",IF(A3="",0,C3),")")</f>
        <v>if(${p_weight_age}&gt;=0 and ${p_weight_age}&lt;3,0,if(${p_weight_age}&gt;=3 and ${p_weight_age}&lt;3.5,1,if(${p_weight_age}&gt;=3.5 and ${p_weight_age}&lt;4,2,if(${p_weight_age}&gt;=4 and ${p_weight_age}&lt;4.5,3,if(${p_weight_age}&gt;=4.5 and ${p_weight_age}&lt;5,4,if(${p_weight_age}&gt;=5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${p_weight_age}&lt;99,16,0)))))))))))))))))</v>
      </c>
    </row>
    <row r="3" spans="1:7">
      <c r="A3">
        <v>1</v>
      </c>
      <c r="B3">
        <v>3</v>
      </c>
      <c r="C3" t="str">
        <f>CONCATENATE("if(${p_weight_age}&gt;=",Table35[[#This Row],[kg]]," and ${p_weight_age}&lt;",B4,",",Table35[[#This Row],[weightclass]],",",IF(A4="",0,C4),")")</f>
        <v>if(${p_weight_age}&gt;=3 and ${p_weight_age}&lt;3.5,1,if(${p_weight_age}&gt;=3.5 and ${p_weight_age}&lt;4,2,if(${p_weight_age}&gt;=4 and ${p_weight_age}&lt;4.5,3,if(${p_weight_age}&gt;=4.5 and ${p_weight_age}&lt;5,4,if(${p_weight_age}&gt;=5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${p_weight_age}&lt;99,16,0))))))))))))))))</v>
      </c>
    </row>
    <row r="4" spans="1:7">
      <c r="A4">
        <v>2</v>
      </c>
      <c r="B4">
        <v>3.5</v>
      </c>
      <c r="C4" t="str">
        <f>CONCATENATE("if(${p_weight_age}&gt;=",Table35[[#This Row],[kg]]," and ${p_weight_age}&lt;",B5,",",Table35[[#This Row],[weightclass]],",",IF(A5="",0,C5),")")</f>
        <v>if(${p_weight_age}&gt;=3.5 and ${p_weight_age}&lt;4,2,if(${p_weight_age}&gt;=4 and ${p_weight_age}&lt;4.5,3,if(${p_weight_age}&gt;=4.5 and ${p_weight_age}&lt;5,4,if(${p_weight_age}&gt;=5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${p_weight_age}&lt;99,16,0)))))))))))))))</v>
      </c>
    </row>
    <row r="5" spans="1:7">
      <c r="A5">
        <v>3</v>
      </c>
      <c r="B5">
        <v>4</v>
      </c>
      <c r="C5" t="str">
        <f>CONCATENATE("if(${p_weight_age}&gt;=",Table35[[#This Row],[kg]]," and ${p_weight_age}&lt;",B6,",",Table35[[#This Row],[weightclass]],",",IF(A6="",0,C6),")")</f>
        <v>if(${p_weight_age}&gt;=4 and ${p_weight_age}&lt;4.5,3,if(${p_weight_age}&gt;=4.5 and ${p_weight_age}&lt;5,4,if(${p_weight_age}&gt;=5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${p_weight_age}&lt;99,16,0))))))))))))))</v>
      </c>
    </row>
    <row r="6" spans="1:7">
      <c r="A6">
        <v>4</v>
      </c>
      <c r="B6">
        <v>4.5</v>
      </c>
      <c r="C6" t="str">
        <f>CONCATENATE("if(${p_weight_age}&gt;=",Table35[[#This Row],[kg]]," and ${p_weight_age}&lt;",B7,",",Table35[[#This Row],[weightclass]],",",IF(A7="",0,C7),")")</f>
        <v>if(${p_weight_age}&gt;=4.5 and ${p_weight_age}&lt;5,4,if(${p_weight_age}&gt;=5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${p_weight_age}&lt;99,16,0)))))))))))))</v>
      </c>
    </row>
    <row r="7" spans="1:7">
      <c r="A7">
        <v>5</v>
      </c>
      <c r="B7">
        <v>5</v>
      </c>
      <c r="C7" t="str">
        <f>CONCATENATE("if(${p_weight_age}&gt;=",Table35[[#This Row],[kg]]," and ${p_weight_age}&lt;",B8,",",Table35[[#This Row],[weightclass]],",",IF(A8="",0,C8),")")</f>
        <v>if(${p_weight_age}&gt;=5 and ${p_weight_age}&lt;6,5,if(${p_weight_age}&gt;=6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${p_weight_age}&lt;99,16,0))))))))))))</v>
      </c>
    </row>
    <row r="8" spans="1:7">
      <c r="A8">
        <v>6</v>
      </c>
      <c r="B8">
        <v>6</v>
      </c>
      <c r="C8" t="str">
        <f>CONCATENATE("if(${p_weight_age}&gt;=",Table35[[#This Row],[kg]]," and ${p_weight_age}&lt;",B9,",",Table35[[#This Row],[weightclass]],",",IF(A9="",0,C9),")")</f>
        <v>if(${p_weight_age}&gt;=6 and ${p_weight_age}&lt;7,6,if(${p_weight_age}&gt;=7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${p_weight_age}&lt;99,16,0)))))))))))</v>
      </c>
    </row>
    <row r="9" spans="1:7">
      <c r="A9">
        <v>7</v>
      </c>
      <c r="B9">
        <v>7</v>
      </c>
      <c r="C9" t="str">
        <f>CONCATENATE("if(${p_weight_age}&gt;=",Table35[[#This Row],[kg]]," and ${p_weight_age}&lt;",B10,",",Table35[[#This Row],[weightclass]],",",IF(A10="",0,C10),")")</f>
        <v>if(${p_weight_age}&gt;=7 and ${p_weight_age}&lt;8,7,if(${p_weight_age}&gt;=8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${p_weight_age}&lt;99,16,0))))))))))</v>
      </c>
    </row>
    <row r="10" spans="1:7">
      <c r="A10">
        <v>8</v>
      </c>
      <c r="B10">
        <v>8</v>
      </c>
      <c r="C10" t="str">
        <f>CONCATENATE("if(${p_weight_age}&gt;=",Table35[[#This Row],[kg]]," and ${p_weight_age}&lt;",B11,",",Table35[[#This Row],[weightclass]],",",IF(A11="",0,C11),")")</f>
        <v>if(${p_weight_age}&gt;=8 and ${p_weight_age}&lt;8.5,8,if(${p_weight_age}&gt;=8.5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${p_weight_age}&lt;99,16,0)))))))))</v>
      </c>
    </row>
    <row r="11" spans="1:7">
      <c r="A11">
        <v>9</v>
      </c>
      <c r="B11">
        <v>8.5</v>
      </c>
      <c r="C11" t="str">
        <f>CONCATENATE("if(${p_weight_age}&gt;=",Table35[[#This Row],[kg]]," and ${p_weight_age}&lt;",B12,",",Table35[[#This Row],[weightclass]],",",IF(A12="",0,C12),")")</f>
        <v>if(${p_weight_age}&gt;=8.5 and ${p_weight_age}&lt;9.5,9,if(${p_weight_age}&gt;=9.5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${p_weight_age}&lt;99,16,0))))))))</v>
      </c>
    </row>
    <row r="12" spans="1:7">
      <c r="A12">
        <v>10</v>
      </c>
      <c r="B12">
        <v>9.5</v>
      </c>
      <c r="C12" t="str">
        <f>CONCATENATE("if(${p_weight_age}&gt;=",Table35[[#This Row],[kg]]," and ${p_weight_age}&lt;",B13,",",Table35[[#This Row],[weightclass]],",",IF(A13="",0,C13),")")</f>
        <v>if(${p_weight_age}&gt;=9.5 and ${p_weight_age}&lt;10,10,if(${p_weight_age}&gt;=10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${p_weight_age}&lt;99,16,0)))))))</v>
      </c>
    </row>
    <row r="13" spans="1:7">
      <c r="A13">
        <v>11</v>
      </c>
      <c r="B13">
        <v>10</v>
      </c>
      <c r="C13" t="str">
        <f>CONCATENATE("if(${p_weight_age}&gt;=",Table35[[#This Row],[kg]]," and ${p_weight_age}&lt;",B14,",",Table35[[#This Row],[weightclass]],",",IF(A14="",0,C14),")")</f>
        <v>if(${p_weight_age}&gt;=10 and ${p_weight_age}&lt;10.5,11,if(${p_weight_age}&gt;=10.5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${p_weight_age}&lt;99,16,0))))))</v>
      </c>
    </row>
    <row r="14" spans="1:7">
      <c r="A14">
        <v>12</v>
      </c>
      <c r="B14">
        <v>10.5</v>
      </c>
      <c r="C14" t="str">
        <f>CONCATENATE("if(${p_weight_age}&gt;=",Table35[[#This Row],[kg]]," and ${p_weight_age}&lt;",B15,",",Table35[[#This Row],[weightclass]],",",IF(A15="",0,C15),")")</f>
        <v>if(${p_weight_age}&gt;=10.5 and ${p_weight_age}&lt;12,12,if(${p_weight_age}&gt;=12 and ${p_weight_age}&lt;14,13,if(${p_weight_age}&gt;=14 and ${p_weight_age}&lt;15,14,if(${p_weight_age}&gt;=15 and ${p_weight_age}&lt;20,15,if(${p_weight_age}&gt;=20 and ${p_weight_age}&lt;99,16,0)))))</v>
      </c>
    </row>
    <row r="15" spans="1:7">
      <c r="A15">
        <v>13</v>
      </c>
      <c r="B15">
        <v>12</v>
      </c>
      <c r="C15" t="str">
        <f>CONCATENATE("if(${p_weight_age}&gt;=",Table35[[#This Row],[kg]]," and ${p_weight_age}&lt;",B16,",",Table35[[#This Row],[weightclass]],",",IF(A16="",0,C16),")")</f>
        <v>if(${p_weight_age}&gt;=12 and ${p_weight_age}&lt;14,13,if(${p_weight_age}&gt;=14 and ${p_weight_age}&lt;15,14,if(${p_weight_age}&gt;=15 and ${p_weight_age}&lt;20,15,if(${p_weight_age}&gt;=20 and ${p_weight_age}&lt;99,16,0))))</v>
      </c>
    </row>
    <row r="16" spans="1:7">
      <c r="A16">
        <v>14</v>
      </c>
      <c r="B16">
        <v>14</v>
      </c>
      <c r="C16" t="str">
        <f>CONCATENATE("if(${p_weight_age}&gt;=",Table35[[#This Row],[kg]]," and ${p_weight_age}&lt;",B17,",",Table35[[#This Row],[weightclass]],",",IF(A17="",0,C17),")")</f>
        <v>if(${p_weight_age}&gt;=14 and ${p_weight_age}&lt;15,14,if(${p_weight_age}&gt;=15 and ${p_weight_age}&lt;20,15,if(${p_weight_age}&gt;=20 and ${p_weight_age}&lt;99,16,0)))</v>
      </c>
    </row>
    <row r="17" spans="1:12">
      <c r="A17">
        <v>15</v>
      </c>
      <c r="B17">
        <v>15</v>
      </c>
      <c r="C17" t="str">
        <f>CONCATENATE("if(${p_weight_age}&gt;=",Table35[[#This Row],[kg]]," and ${p_weight_age}&lt;",B18,",",Table35[[#This Row],[weightclass]],",",IF(A18="",0,C18),")")</f>
        <v>if(${p_weight_age}&gt;=15 and ${p_weight_age}&lt;20,15,if(${p_weight_age}&gt;=20 and ${p_weight_age}&lt;99,16,0))</v>
      </c>
    </row>
    <row r="18" spans="1:12">
      <c r="A18">
        <v>16</v>
      </c>
      <c r="B18">
        <v>20</v>
      </c>
      <c r="C18" t="str">
        <f>CONCATENATE("if(${p_weight_age}&gt;=",Table35[[#This Row],[kg]]," and ${p_weight_age}&lt;",B19,",",Table35[[#This Row],[weightclass]],",",IF(A19="",0,C19),")")</f>
        <v>if(${p_weight_age}&gt;=20 and ${p_weight_age}&lt;99,16,0)</v>
      </c>
    </row>
    <row r="19" spans="1:12">
      <c r="B19">
        <v>99</v>
      </c>
      <c r="C19" s="2" t="str">
        <f>CONCATENATE("if(${p_weight_age}&gt;=",Table35[[#This Row],[kg]]," and ${p_weight_age}&lt;",B20,",",Table35[[#This Row],[weightclass]],",",IF(A20="",0,C20),")")</f>
        <v>if(${p_weight_age}&gt;=99 and ${p_weight_age}&lt;,,0)</v>
      </c>
    </row>
    <row r="24" spans="1:12">
      <c r="A24" t="s">
        <v>16</v>
      </c>
      <c r="B24" t="s">
        <v>26</v>
      </c>
      <c r="C24" s="1" t="s">
        <v>0</v>
      </c>
      <c r="D24" s="1" t="s">
        <v>1</v>
      </c>
      <c r="E24" s="1" t="s">
        <v>2</v>
      </c>
      <c r="F24" s="1" t="s">
        <v>3</v>
      </c>
      <c r="G24" t="s">
        <v>17</v>
      </c>
      <c r="H24" t="s">
        <v>22</v>
      </c>
      <c r="I24" t="s">
        <v>30</v>
      </c>
      <c r="J24" t="s">
        <v>25</v>
      </c>
      <c r="K24" t="s">
        <v>48</v>
      </c>
      <c r="L24" t="s">
        <v>45</v>
      </c>
    </row>
    <row r="25" spans="1:12" ht="16.149999999999999" hidden="1" customHeight="1">
      <c r="B25" t="e">
        <f>IF(Table2[[#This Row],[drug]]&lt;&gt;#REF!,Table2[[#This Row],[drug]],"")</f>
        <v>#REF!</v>
      </c>
      <c r="H25" s="2" t="str">
        <f>CONCATENATE("if(${p_weight_age}&gt;=",Table2[[#This Row],[Min_weight_kg]]," and ${p_weight_age}&lt;",Table2[[#This Row],[Max_weight_kg]],",""",Table2[[#This Row],[rate]],""",",IF(Table2[[#This Row],[drug]]=A26,H26,"""--"""),")")</f>
        <v>if(${p_weight_age}&gt;= and ${p_weight_age}&lt;,"","--")</v>
      </c>
      <c r="I25" s="2" t="str">
        <f>CONCATENATE("if(${p_age}&gt;=",Table2[[#This Row],[Min_age_months]]," and ${p_age}&lt;",Table2[[#This Row],[Max_age_months]],",""",Table2[[#This Row],[rate]],""",",IF(Table2[[#This Row],[drug]]=A26,I26,"""--"""),")")</f>
        <v>if(${p_age}&gt;= and ${p_age}&lt;,"","--")</v>
      </c>
      <c r="J25" s="2" t="str">
        <f>CONCATENATE("if(${p_weight}&gt;0,",Table2[[#This Row],[Formula weight]],",",Table2[[#This Row],[Formula Age]],")")</f>
        <v>if(${p_weight}&gt;0,if(${p_weight_age}&gt;= and ${p_weight_age}&lt;,"","--"),if(${p_age}&gt;= and ${p_age}&lt;,"","--"))</v>
      </c>
      <c r="K25" s="2" t="str">
        <f>GenerateDrugString(Table2[[#This Row],[Min_weight_kg]],Table2[[#This Row],[Max_weight_kg]],Table2[[#This Row],[rate]],Table35[kg])</f>
        <v/>
      </c>
      <c r="L25" s="2" t="str">
        <f>CONCATENATE(Table2[[#This Row],[drugStringLine]],IF(TRIM(Table2[[#This Row],[drugStringLine]])="",""," "),IF(Table2[[#This Row],[drug]]=A26,L26,""))</f>
        <v/>
      </c>
    </row>
    <row r="26" spans="1:12">
      <c r="A26" t="s">
        <v>18</v>
      </c>
      <c r="B26" t="str">
        <f>IF(Table2[[#This Row],[drug]]&lt;&gt;A25,Table2[[#This Row],[drug]],"")</f>
        <v>Hydro_A</v>
      </c>
      <c r="E26">
        <v>2</v>
      </c>
      <c r="F26">
        <v>24</v>
      </c>
      <c r="G26" t="s">
        <v>7</v>
      </c>
      <c r="H26" s="2" t="str">
        <f>CONCATENATE("if(${p_weight_age}&gt;=",Table2[[#This Row],[Min_weight_kg]]," and ${p_weight_age}&lt;",Table2[[#This Row],[Max_weight_kg]],",""",Table2[[#This Row],[rate]],""",",IF(Table2[[#This Row],[drug]]=A27,H27,"""--"""),")")</f>
        <v>if(${p_weight_age}&gt;= and ${p_weight_age}&lt;,"50-100",if(${p_weight_age}&gt;= and ${p_weight_age}&lt;,"100-200","--"))</v>
      </c>
      <c r="I26" s="2" t="str">
        <f>CONCATENATE("if(${p_age}&gt;=",Table2[[#This Row],[Min_age_months]]," and ${p_age}&lt;",Table2[[#This Row],[Max_age_months]],",""",Table2[[#This Row],[rate]],""",",IF(Table2[[#This Row],[drug]]=A27,I27,"""--"""),")")</f>
        <v>if(${p_age}&gt;=2 and ${p_age}&lt;24,"50-100",if(${p_age}&gt;=24 and ${p_age}&lt;61,"100-200","--"))</v>
      </c>
      <c r="J26" s="2" t="str">
        <f>CONCATENATE("if(${p_weight}&gt;0,",Table2[[#This Row],[Formula weight]],",",Table2[[#This Row],[Formula Age]],")")</f>
        <v>if(${p_weight}&gt;0,if(${p_weight_age}&gt;= and ${p_weight_age}&lt;,"50-100",if(${p_weight_age}&gt;= and ${p_weight_age}&lt;,"100-200","--")),if(${p_age}&gt;=2 and ${p_age}&lt;24,"50-100",if(${p_age}&gt;=24 and ${p_age}&lt;61,"100-200","--")))</v>
      </c>
      <c r="K26" s="2" t="str">
        <f>GenerateDrugString(Table2[[#This Row],[Min_weight_kg]],Table2[[#This Row],[Max_weight_kg]],Table2[[#This Row],[rate]],Table35[kg])</f>
        <v/>
      </c>
      <c r="L26" s="2" t="str">
        <f>CONCATENATE(Table2[[#This Row],[drugStringLine]],IF(TRIM(Table2[[#This Row],[drugStringLine]])="",""," "),IF(Table2[[#This Row],[drug]]=A27,L27,""))</f>
        <v/>
      </c>
    </row>
    <row r="27" spans="1:12">
      <c r="A27" t="s">
        <v>18</v>
      </c>
      <c r="B27" t="str">
        <f>IF(Table2[[#This Row],[drug]]&lt;&gt;A26,Table2[[#This Row],[drug]],"")</f>
        <v/>
      </c>
      <c r="E27">
        <v>24</v>
      </c>
      <c r="F27">
        <v>61</v>
      </c>
      <c r="G27" t="s">
        <v>6</v>
      </c>
      <c r="H27" s="2" t="str">
        <f>CONCATENATE("if(${p_weight_age}&gt;=",Table2[[#This Row],[Min_weight_kg]]," and ${p_weight_age}&lt;",Table2[[#This Row],[Max_weight_kg]],",""",Table2[[#This Row],[rate]],""",",IF(Table2[[#This Row],[drug]]=A28,H28,"""--"""),")")</f>
        <v>if(${p_weight_age}&gt;= and ${p_weight_age}&lt;,"100-200","--")</v>
      </c>
      <c r="I27" s="2" t="str">
        <f>CONCATENATE("if(${p_age}&gt;=",Table2[[#This Row],[Min_age_months]]," and ${p_age}&lt;",Table2[[#This Row],[Max_age_months]],",""",Table2[[#This Row],[rate]],""",",IF(Table2[[#This Row],[drug]]=A28,I28,"""--"""),")")</f>
        <v>if(${p_age}&gt;=24 and ${p_age}&lt;61,"100-200","--")</v>
      </c>
      <c r="J27" s="2" t="str">
        <f>CONCATENATE("if(${p_weight}&gt;0,",Table2[[#This Row],[Formula weight]],",",Table2[[#This Row],[Formula Age]],")")</f>
        <v>if(${p_weight}&gt;0,if(${p_weight_age}&gt;= and ${p_weight_age}&lt;,"100-200","--"),if(${p_age}&gt;=24 and ${p_age}&lt;61,"100-200","--"))</v>
      </c>
      <c r="K27" s="2" t="str">
        <f>GenerateDrugString(Table2[[#This Row],[Min_weight_kg]],Table2[[#This Row],[Max_weight_kg]],Table2[[#This Row],[rate]],Table35[kg])</f>
        <v/>
      </c>
      <c r="L27" s="2" t="str">
        <f>CONCATENATE(Table2[[#This Row],[drugStringLine]],IF(TRIM(Table2[[#This Row],[drugStringLine]])="",""," "),IF(Table2[[#This Row],[drug]]=A28,L28,""))</f>
        <v/>
      </c>
    </row>
    <row r="28" spans="1:12">
      <c r="A28" t="s">
        <v>19</v>
      </c>
      <c r="B28" t="str">
        <f>IF(Table2[[#This Row],[drug]]&lt;&gt;A27,Table2[[#This Row],[drug]],"")</f>
        <v>Hydro_B</v>
      </c>
      <c r="E28">
        <v>0</v>
      </c>
      <c r="F28">
        <v>4</v>
      </c>
      <c r="G28" t="s">
        <v>12</v>
      </c>
      <c r="H28" s="2" t="str">
        <f>CONCATENATE("if(${p_weight_age}&gt;=",Table2[[#This Row],[Min_weight_kg]]," and ${p_weight_age}&lt;",Table2[[#This Row],[Max_weight_kg]],",""",Table2[[#This Row],[rate]],""",",IF(Table2[[#This Row],[drug]]=A29,H29,"""--"""),")")</f>
        <v>if(${p_weight_age}&gt;= and ${p_weight_age}&lt;,"200-400",if(${p_weight_age}&gt;= and ${p_weight_age}&lt;,"400-1000",if(${p_weight_age}&gt;= and ${p_weight_age}&lt;,"1000-1200",if(${p_weight_age}&gt;= and ${p_weight_age}&lt;,"1200-1900","--"))))</v>
      </c>
      <c r="I28" s="2" t="str">
        <f>CONCATENATE("if(${p_age}&gt;=",Table2[[#This Row],[Min_age_months]]," and ${p_age}&lt;",Table2[[#This Row],[Max_age_months]],",""",Table2[[#This Row],[rate]],""",",IF(Table2[[#This Row],[drug]]=A29,I29,"""--"""),")")</f>
        <v>if(${p_age}&gt;=0 and ${p_age}&lt;4,"200-400",if(${p_age}&gt;=4 and ${p_age}&lt;12,"400-1000",if(${p_age}&gt;=12 and ${p_age}&lt;24,"1000-1200",if(${p_age}&gt;=24 and ${p_age}&lt;61,"1200-1900","--"))))</v>
      </c>
      <c r="J28" s="2" t="str">
        <f>CONCATENATE("if(${p_weight}&gt;0,",Table2[[#This Row],[Formula weight]],",",Table2[[#This Row],[Formula Age]],")")</f>
        <v>if(${p_weight}&gt;0,if(${p_weight_age}&gt;= and ${p_weight_age}&lt;,"200-400",if(${p_weight_age}&gt;= and ${p_weight_age}&lt;,"400-1000",if(${p_weight_age}&gt;= and ${p_weight_age}&lt;,"1000-1200",if(${p_weight_age}&gt;= and ${p_weight_age}&lt;,"1200-1900","--")))),if(${p_age}&gt;=0 and ${p_age}&lt;4,"200-400",if(${p_age}&gt;=4 and ${p_age}&lt;12,"400-1000",if(${p_age}&gt;=12 and ${p_age}&lt;24,"1000-1200",if(${p_age}&gt;=24 and ${p_age}&lt;61,"1200-1900","--")))))</v>
      </c>
      <c r="K28" s="2" t="str">
        <f>GenerateDrugString(Table2[[#This Row],[Min_weight_kg]],Table2[[#This Row],[Max_weight_kg]],Table2[[#This Row],[rate]],Table35[kg])</f>
        <v/>
      </c>
      <c r="L28" s="2" t="str">
        <f>CONCATENATE(Table2[[#This Row],[drugStringLine]],IF(TRIM(Table2[[#This Row],[drugStringLine]])="",""," "),IF(Table2[[#This Row],[drug]]=A29,L29,""))</f>
        <v/>
      </c>
    </row>
    <row r="29" spans="1:12">
      <c r="A29" t="s">
        <v>19</v>
      </c>
      <c r="B29" t="str">
        <f>IF(Table2[[#This Row],[drug]]&lt;&gt;A28,Table2[[#This Row],[drug]],"")</f>
        <v/>
      </c>
      <c r="E29">
        <v>4</v>
      </c>
      <c r="F29">
        <v>12</v>
      </c>
      <c r="G29" t="s">
        <v>13</v>
      </c>
      <c r="H29" s="2" t="str">
        <f>CONCATENATE("if(${p_weight_age}&gt;=",Table2[[#This Row],[Min_weight_kg]]," and ${p_weight_age}&lt;",Table2[[#This Row],[Max_weight_kg]],",""",Table2[[#This Row],[rate]],""",",IF(Table2[[#This Row],[drug]]=A30,H30,"""--"""),")")</f>
        <v>if(${p_weight_age}&gt;= and ${p_weight_age}&lt;,"400-1000",if(${p_weight_age}&gt;= and ${p_weight_age}&lt;,"1000-1200",if(${p_weight_age}&gt;= and ${p_weight_age}&lt;,"1200-1900","--")))</v>
      </c>
      <c r="I29" s="2" t="str">
        <f>CONCATENATE("if(${p_age}&gt;=",Table2[[#This Row],[Min_age_months]]," and ${p_age}&lt;",Table2[[#This Row],[Max_age_months]],",""",Table2[[#This Row],[rate]],""",",IF(Table2[[#This Row],[drug]]=A30,I30,"""--"""),")")</f>
        <v>if(${p_age}&gt;=4 and ${p_age}&lt;12,"400-1000",if(${p_age}&gt;=12 and ${p_age}&lt;24,"1000-1200",if(${p_age}&gt;=24 and ${p_age}&lt;61,"1200-1900","--")))</v>
      </c>
      <c r="J29" s="2" t="str">
        <f>CONCATENATE("if(${p_weight}&gt;0,",Table2[[#This Row],[Formula weight]],",",Table2[[#This Row],[Formula Age]],")")</f>
        <v>if(${p_weight}&gt;0,if(${p_weight_age}&gt;= and ${p_weight_age}&lt;,"400-1000",if(${p_weight_age}&gt;= and ${p_weight_age}&lt;,"1000-1200",if(${p_weight_age}&gt;= and ${p_weight_age}&lt;,"1200-1900","--"))),if(${p_age}&gt;=4 and ${p_age}&lt;12,"400-1000",if(${p_age}&gt;=12 and ${p_age}&lt;24,"1000-1200",if(${p_age}&gt;=24 and ${p_age}&lt;61,"1200-1900","--"))))</v>
      </c>
      <c r="K29" s="2" t="str">
        <f>GenerateDrugString(Table2[[#This Row],[Min_weight_kg]],Table2[[#This Row],[Max_weight_kg]],Table2[[#This Row],[rate]],Table35[kg])</f>
        <v/>
      </c>
      <c r="L29" s="2" t="str">
        <f>CONCATENATE(Table2[[#This Row],[drugStringLine]],IF(TRIM(Table2[[#This Row],[drugStringLine]])="",""," "),IF(Table2[[#This Row],[drug]]=A30,L30,""))</f>
        <v/>
      </c>
    </row>
    <row r="30" spans="1:12">
      <c r="A30" t="s">
        <v>19</v>
      </c>
      <c r="B30" t="str">
        <f>IF(Table2[[#This Row],[drug]]&lt;&gt;A29,Table2[[#This Row],[drug]],"")</f>
        <v/>
      </c>
      <c r="E30">
        <v>12</v>
      </c>
      <c r="F30">
        <v>24</v>
      </c>
      <c r="G30" t="s">
        <v>14</v>
      </c>
      <c r="H30" s="2" t="str">
        <f>CONCATENATE("if(${p_weight_age}&gt;=",Table2[[#This Row],[Min_weight_kg]]," and ${p_weight_age}&lt;",Table2[[#This Row],[Max_weight_kg]],",""",Table2[[#This Row],[rate]],""",",IF(Table2[[#This Row],[drug]]=A31,H31,"""--"""),")")</f>
        <v>if(${p_weight_age}&gt;= and ${p_weight_age}&lt;,"1000-1200",if(${p_weight_age}&gt;= and ${p_weight_age}&lt;,"1200-1900","--"))</v>
      </c>
      <c r="I30" s="2" t="str">
        <f>CONCATENATE("if(${p_age}&gt;=",Table2[[#This Row],[Min_age_months]]," and ${p_age}&lt;",Table2[[#This Row],[Max_age_months]],",""",Table2[[#This Row],[rate]],""",",IF(Table2[[#This Row],[drug]]=A31,I31,"""--"""),")")</f>
        <v>if(${p_age}&gt;=12 and ${p_age}&lt;24,"1000-1200",if(${p_age}&gt;=24 and ${p_age}&lt;61,"1200-1900","--"))</v>
      </c>
      <c r="J30" s="2" t="str">
        <f>CONCATENATE("if(${p_weight}&gt;0,",Table2[[#This Row],[Formula weight]],",",Table2[[#This Row],[Formula Age]],")")</f>
        <v>if(${p_weight}&gt;0,if(${p_weight_age}&gt;= and ${p_weight_age}&lt;,"1000-1200",if(${p_weight_age}&gt;= and ${p_weight_age}&lt;,"1200-1900","--")),if(${p_age}&gt;=12 and ${p_age}&lt;24,"1000-1200",if(${p_age}&gt;=24 and ${p_age}&lt;61,"1200-1900","--")))</v>
      </c>
      <c r="K30" s="2" t="str">
        <f>GenerateDrugString(Table2[[#This Row],[Min_weight_kg]],Table2[[#This Row],[Max_weight_kg]],Table2[[#This Row],[rate]],Table35[kg])</f>
        <v/>
      </c>
      <c r="L30" s="2" t="str">
        <f>CONCATENATE(Table2[[#This Row],[drugStringLine]],IF(TRIM(Table2[[#This Row],[drugStringLine]])="",""," "),IF(Table2[[#This Row],[drug]]=A31,L31,""))</f>
        <v/>
      </c>
    </row>
    <row r="31" spans="1:12">
      <c r="A31" t="s">
        <v>19</v>
      </c>
      <c r="B31" t="str">
        <f>IF(Table2[[#This Row],[drug]]&lt;&gt;A30,Table2[[#This Row],[drug]],"")</f>
        <v/>
      </c>
      <c r="E31">
        <v>24</v>
      </c>
      <c r="F31">
        <v>61</v>
      </c>
      <c r="G31" t="s">
        <v>15</v>
      </c>
      <c r="H31" s="2" t="str">
        <f>CONCATENATE("if(${p_weight_age}&gt;=",Table2[[#This Row],[Min_weight_kg]]," and ${p_weight_age}&lt;",Table2[[#This Row],[Max_weight_kg]],",""",Table2[[#This Row],[rate]],""",",IF(Table2[[#This Row],[drug]]=A32,H32,"""--"""),")")</f>
        <v>if(${p_weight_age}&gt;= and ${p_weight_age}&lt;,"1200-1900","--")</v>
      </c>
      <c r="I31" s="2" t="str">
        <f>CONCATENATE("if(${p_age}&gt;=",Table2[[#This Row],[Min_age_months]]," and ${p_age}&lt;",Table2[[#This Row],[Max_age_months]],",""",Table2[[#This Row],[rate]],""",",IF(Table2[[#This Row],[drug]]=A32,I32,"""--"""),")")</f>
        <v>if(${p_age}&gt;=24 and ${p_age}&lt;61,"1200-1900","--")</v>
      </c>
      <c r="J31" s="2" t="str">
        <f>CONCATENATE("if(${p_weight}&gt;0,",Table2[[#This Row],[Formula weight]],",",Table2[[#This Row],[Formula Age]],")")</f>
        <v>if(${p_weight}&gt;0,if(${p_weight_age}&gt;= and ${p_weight_age}&lt;,"1200-1900","--"),if(${p_age}&gt;=24 and ${p_age}&lt;61,"1200-1900","--"))</v>
      </c>
      <c r="K31" s="2" t="str">
        <f>GenerateDrugString(Table2[[#This Row],[Min_weight_kg]],Table2[[#This Row],[Max_weight_kg]],Table2[[#This Row],[rate]],Table35[kg])</f>
        <v/>
      </c>
      <c r="L31" s="2" t="str">
        <f>CONCATENATE(Table2[[#This Row],[drugStringLine]],IF(TRIM(Table2[[#This Row],[drugStringLine]])="",""," "),IF(Table2[[#This Row],[drug]]=A32,L32,""))</f>
        <v/>
      </c>
    </row>
    <row r="32" spans="1:12">
      <c r="A32" t="s">
        <v>20</v>
      </c>
      <c r="B32" t="str">
        <f>IF(Table2[[#This Row],[drug]]&lt;&gt;A31,Table2[[#This Row],[drug]],"")</f>
        <v>vitA_200000</v>
      </c>
      <c r="E32">
        <v>0</v>
      </c>
      <c r="F32">
        <v>6</v>
      </c>
      <c r="G32" t="s">
        <v>4</v>
      </c>
      <c r="H32" s="2" t="str">
        <f>CONCATENATE("if(${p_weight_age}&gt;=",Table2[[#This Row],[Min_weight_kg]]," and ${p_weight_age}&lt;",Table2[[#This Row],[Max_weight_kg]],",""",Table2[[#This Row],[rate]],""",",IF(Table2[[#This Row],[drug]]=A33,H33,"""--"""),")")</f>
        <v>if(${p_weight_age}&gt;= and ${p_weight_age}&lt;,"1/4",if(${p_weight_age}&gt;= and ${p_weight_age}&lt;,"1/2",if(${p_weight_age}&gt;= and ${p_weight_age}&lt;,"1","--")))</v>
      </c>
      <c r="I32" s="2" t="str">
        <f>CONCATENATE("if(${p_age}&gt;=",Table2[[#This Row],[Min_age_months]]," and ${p_age}&lt;",Table2[[#This Row],[Max_age_months]],",""",Table2[[#This Row],[rate]],""",",IF(Table2[[#This Row],[drug]]=A33,I33,"""--"""),")")</f>
        <v>if(${p_age}&gt;=0 and ${p_age}&lt;6,"1/4",if(${p_age}&gt;=6 and ${p_age}&lt;12,"1/2",if(${p_age}&gt;=12 and ${p_age}&lt;99,"1","--")))</v>
      </c>
      <c r="J32" s="2" t="str">
        <f>CONCATENATE("if(${p_weight}&gt;0,",Table2[[#This Row],[Formula weight]],",",Table2[[#This Row],[Formula Age]],")")</f>
        <v>if(${p_weight}&gt;0,if(${p_weight_age}&gt;= and ${p_weight_age}&lt;,"1/4",if(${p_weight_age}&gt;= and ${p_weight_age}&lt;,"1/2",if(${p_weight_age}&gt;= and ${p_weight_age}&lt;,"1","--"))),if(${p_age}&gt;=0 and ${p_age}&lt;6,"1/4",if(${p_age}&gt;=6 and ${p_age}&lt;12,"1/2",if(${p_age}&gt;=12 and ${p_age}&lt;99,"1","--"))))</v>
      </c>
      <c r="K32" s="2" t="str">
        <f>GenerateDrugString(Table2[[#This Row],[Min_weight_kg]],Table2[[#This Row],[Max_weight_kg]],Table2[[#This Row],[rate]],Table35[kg])</f>
        <v/>
      </c>
      <c r="L32" s="2" t="str">
        <f>CONCATENATE(Table2[[#This Row],[drugStringLine]],IF(TRIM(Table2[[#This Row],[drugStringLine]])="",""," "),IF(Table2[[#This Row],[drug]]=A33,L33,""))</f>
        <v/>
      </c>
    </row>
    <row r="33" spans="1:12">
      <c r="A33" t="s">
        <v>20</v>
      </c>
      <c r="B33" t="str">
        <f>IF(Table2[[#This Row],[drug]]&lt;&gt;A32,Table2[[#This Row],[drug]],"")</f>
        <v/>
      </c>
      <c r="E33">
        <v>6</v>
      </c>
      <c r="F33">
        <v>12</v>
      </c>
      <c r="G33" t="s">
        <v>5</v>
      </c>
      <c r="H33" s="2" t="str">
        <f>CONCATENATE("if(${p_weight_age}&gt;=",Table2[[#This Row],[Min_weight_kg]]," and ${p_weight_age}&lt;",Table2[[#This Row],[Max_weight_kg]],",""",Table2[[#This Row],[rate]],""",",IF(Table2[[#This Row],[drug]]=A34,H34,"""--"""),")")</f>
        <v>if(${p_weight_age}&gt;= and ${p_weight_age}&lt;,"1/2",if(${p_weight_age}&gt;= and ${p_weight_age}&lt;,"1","--"))</v>
      </c>
      <c r="I33" s="2" t="str">
        <f>CONCATENATE("if(${p_age}&gt;=",Table2[[#This Row],[Min_age_months]]," and ${p_age}&lt;",Table2[[#This Row],[Max_age_months]],",""",Table2[[#This Row],[rate]],""",",IF(Table2[[#This Row],[drug]]=A34,I34,"""--"""),")")</f>
        <v>if(${p_age}&gt;=6 and ${p_age}&lt;12,"1/2",if(${p_age}&gt;=12 and ${p_age}&lt;99,"1","--"))</v>
      </c>
      <c r="J33" s="2" t="str">
        <f>CONCATENATE("if(${p_weight}&gt;0,",Table2[[#This Row],[Formula weight]],",",Table2[[#This Row],[Formula Age]],")")</f>
        <v>if(${p_weight}&gt;0,if(${p_weight_age}&gt;= and ${p_weight_age}&lt;,"1/2",if(${p_weight_age}&gt;= and ${p_weight_age}&lt;,"1","--")),if(${p_age}&gt;=6 and ${p_age}&lt;12,"1/2",if(${p_age}&gt;=12 and ${p_age}&lt;99,"1","--")))</v>
      </c>
      <c r="K33" s="2" t="str">
        <f>GenerateDrugString(Table2[[#This Row],[Min_weight_kg]],Table2[[#This Row],[Max_weight_kg]],Table2[[#This Row],[rate]],Table35[kg])</f>
        <v/>
      </c>
      <c r="L33" s="2" t="str">
        <f>CONCATENATE(Table2[[#This Row],[drugStringLine]],IF(TRIM(Table2[[#This Row],[drugStringLine]])="",""," "),IF(Table2[[#This Row],[drug]]=A34,L34,""))</f>
        <v/>
      </c>
    </row>
    <row r="34" spans="1:12">
      <c r="A34" t="s">
        <v>20</v>
      </c>
      <c r="B34" t="str">
        <f>IF(Table2[[#This Row],[drug]]&lt;&gt;A33,Table2[[#This Row],[drug]],"")</f>
        <v/>
      </c>
      <c r="E34">
        <v>12</v>
      </c>
      <c r="F34">
        <v>99</v>
      </c>
      <c r="G34">
        <v>1</v>
      </c>
      <c r="H34" s="2" t="str">
        <f>CONCATENATE("if(${p_weight_age}&gt;=",Table2[[#This Row],[Min_weight_kg]]," and ${p_weight_age}&lt;",Table2[[#This Row],[Max_weight_kg]],",""",Table2[[#This Row],[rate]],""",",IF(Table2[[#This Row],[drug]]=A35,H35,"""--"""),")")</f>
        <v>if(${p_weight_age}&gt;= and ${p_weight_age}&lt;,"1","--")</v>
      </c>
      <c r="I34" s="2" t="str">
        <f>CONCATENATE("if(${p_age}&gt;=",Table2[[#This Row],[Min_age_months]]," and ${p_age}&lt;",Table2[[#This Row],[Max_age_months]],",""",Table2[[#This Row],[rate]],""",",IF(Table2[[#This Row],[drug]]=A35,I35,"""--"""),")")</f>
        <v>if(${p_age}&gt;=12 and ${p_age}&lt;99,"1","--")</v>
      </c>
      <c r="J34" s="2" t="str">
        <f>CONCATENATE("if(${p_weight}&gt;0,",Table2[[#This Row],[Formula weight]],",",Table2[[#This Row],[Formula Age]],")")</f>
        <v>if(${p_weight}&gt;0,if(${p_weight_age}&gt;= and ${p_weight_age}&lt;,"1","--"),if(${p_age}&gt;=12 and ${p_age}&lt;99,"1","--"))</v>
      </c>
      <c r="K34" s="2" t="str">
        <f>GenerateDrugString(Table2[[#This Row],[Min_weight_kg]],Table2[[#This Row],[Max_weight_kg]],Table2[[#This Row],[rate]],Table35[kg])</f>
        <v/>
      </c>
      <c r="L34" s="2" t="str">
        <f>CONCATENATE(Table2[[#This Row],[drugStringLine]],IF(TRIM(Table2[[#This Row],[drugStringLine]])="",""," "),IF(Table2[[#This Row],[drug]]=A35,L35,""))</f>
        <v/>
      </c>
    </row>
    <row r="35" spans="1:12">
      <c r="A35" t="s">
        <v>21</v>
      </c>
      <c r="B35" t="str">
        <f>IF(Table2[[#This Row],[drug]]&lt;&gt;A34,Table2[[#This Row],[drug]],"")</f>
        <v>vitA_100000</v>
      </c>
      <c r="E35">
        <v>0</v>
      </c>
      <c r="F35">
        <v>6</v>
      </c>
      <c r="G35" t="s">
        <v>5</v>
      </c>
      <c r="H35" s="2" t="str">
        <f>CONCATENATE("if(${p_weight_age}&gt;=",Table2[[#This Row],[Min_weight_kg]]," and ${p_weight_age}&lt;",Table2[[#This Row],[Max_weight_kg]],",""",Table2[[#This Row],[rate]],""",",IF(Table2[[#This Row],[drug]]=A36,H36,"""--"""),")")</f>
        <v>if(${p_weight_age}&gt;= and ${p_weight_age}&lt;,"1/2",if(${p_weight_age}&gt;= and ${p_weight_age}&lt;,"1",if(${p_weight_age}&gt;= and ${p_weight_age}&lt;,"2","--")))</v>
      </c>
      <c r="I35" s="2" t="str">
        <f>CONCATENATE("if(${p_age}&gt;=",Table2[[#This Row],[Min_age_months]]," and ${p_age}&lt;",Table2[[#This Row],[Max_age_months]],",""",Table2[[#This Row],[rate]],""",",IF(Table2[[#This Row],[drug]]=A36,I36,"""--"""),")")</f>
        <v>if(${p_age}&gt;=0 and ${p_age}&lt;6,"1/2",if(${p_age}&gt;=6 and ${p_age}&lt;12,"1",if(${p_age}&gt;=12 and ${p_age}&lt;99,"2","--")))</v>
      </c>
      <c r="J35" s="2" t="str">
        <f>CONCATENATE("if(${p_weight}&gt;0,",Table2[[#This Row],[Formula weight]],",",Table2[[#This Row],[Formula Age]],")")</f>
        <v>if(${p_weight}&gt;0,if(${p_weight_age}&gt;= and ${p_weight_age}&lt;,"1/2",if(${p_weight_age}&gt;= and ${p_weight_age}&lt;,"1",if(${p_weight_age}&gt;= and ${p_weight_age}&lt;,"2","--"))),if(${p_age}&gt;=0 and ${p_age}&lt;6,"1/2",if(${p_age}&gt;=6 and ${p_age}&lt;12,"1",if(${p_age}&gt;=12 and ${p_age}&lt;99,"2","--"))))</v>
      </c>
      <c r="K35" s="2" t="str">
        <f>GenerateDrugString(Table2[[#This Row],[Min_weight_kg]],Table2[[#This Row],[Max_weight_kg]],Table2[[#This Row],[rate]],Table35[kg])</f>
        <v/>
      </c>
      <c r="L35" s="2" t="str">
        <f>CONCATENATE(Table2[[#This Row],[drugStringLine]],IF(TRIM(Table2[[#This Row],[drugStringLine]])="",""," "),IF(Table2[[#This Row],[drug]]=A36,L36,""))</f>
        <v/>
      </c>
    </row>
    <row r="36" spans="1:12">
      <c r="A36" t="s">
        <v>21</v>
      </c>
      <c r="B36" t="str">
        <f>IF(Table2[[#This Row],[drug]]&lt;&gt;A35,Table2[[#This Row],[drug]],"")</f>
        <v/>
      </c>
      <c r="E36">
        <v>6</v>
      </c>
      <c r="F36">
        <v>12</v>
      </c>
      <c r="G36">
        <v>1</v>
      </c>
      <c r="H36" s="2" t="str">
        <f>CONCATENATE("if(${p_weight_age}&gt;=",Table2[[#This Row],[Min_weight_kg]]," and ${p_weight_age}&lt;",Table2[[#This Row],[Max_weight_kg]],",""",Table2[[#This Row],[rate]],""",",IF(Table2[[#This Row],[drug]]=A37,H37,"""--"""),")")</f>
        <v>if(${p_weight_age}&gt;= and ${p_weight_age}&lt;,"1",if(${p_weight_age}&gt;= and ${p_weight_age}&lt;,"2","--"))</v>
      </c>
      <c r="I36" s="2" t="str">
        <f>CONCATENATE("if(${p_age}&gt;=",Table2[[#This Row],[Min_age_months]]," and ${p_age}&lt;",Table2[[#This Row],[Max_age_months]],",""",Table2[[#This Row],[rate]],""",",IF(Table2[[#This Row],[drug]]=A37,I37,"""--"""),")")</f>
        <v>if(${p_age}&gt;=6 and ${p_age}&lt;12,"1",if(${p_age}&gt;=12 and ${p_age}&lt;99,"2","--"))</v>
      </c>
      <c r="J36" s="2" t="str">
        <f>CONCATENATE("if(${p_weight}&gt;0,",Table2[[#This Row],[Formula weight]],",",Table2[[#This Row],[Formula Age]],")")</f>
        <v>if(${p_weight}&gt;0,if(${p_weight_age}&gt;= and ${p_weight_age}&lt;,"1",if(${p_weight_age}&gt;= and ${p_weight_age}&lt;,"2","--")),if(${p_age}&gt;=6 and ${p_age}&lt;12,"1",if(${p_age}&gt;=12 and ${p_age}&lt;99,"2","--")))</v>
      </c>
      <c r="K36" s="2" t="str">
        <f>GenerateDrugString(Table2[[#This Row],[Min_weight_kg]],Table2[[#This Row],[Max_weight_kg]],Table2[[#This Row],[rate]],Table35[kg])</f>
        <v/>
      </c>
      <c r="L36" s="2" t="str">
        <f>CONCATENATE(Table2[[#This Row],[drugStringLine]],IF(TRIM(Table2[[#This Row],[drugStringLine]])="",""," "),IF(Table2[[#This Row],[drug]]=A37,L37,""))</f>
        <v/>
      </c>
    </row>
    <row r="37" spans="1:12">
      <c r="A37" t="s">
        <v>21</v>
      </c>
      <c r="B37" t="str">
        <f>IF(Table2[[#This Row],[drug]]&lt;&gt;A36,Table2[[#This Row],[drug]],"")</f>
        <v/>
      </c>
      <c r="E37">
        <v>12</v>
      </c>
      <c r="F37">
        <v>99</v>
      </c>
      <c r="G37">
        <v>2</v>
      </c>
      <c r="H37" s="2" t="str">
        <f>CONCATENATE("if(${p_weight_age}&gt;=",Table2[[#This Row],[Min_weight_kg]]," and ${p_weight_age}&lt;",Table2[[#This Row],[Max_weight_kg]],",""",Table2[[#This Row],[rate]],""",",IF(Table2[[#This Row],[drug]]=A38,H38,"""--"""),")")</f>
        <v>if(${p_weight_age}&gt;= and ${p_weight_age}&lt;,"2","--")</v>
      </c>
      <c r="I37" s="2" t="str">
        <f>CONCATENATE("if(${p_age}&gt;=",Table2[[#This Row],[Min_age_months]]," and ${p_age}&lt;",Table2[[#This Row],[Max_age_months]],",""",Table2[[#This Row],[rate]],""",",IF(Table2[[#This Row],[drug]]=A38,I38,"""--"""),")")</f>
        <v>if(${p_age}&gt;=12 and ${p_age}&lt;99,"2","--")</v>
      </c>
      <c r="J37" s="2" t="str">
        <f>CONCATENATE("if(${p_weight}&gt;0,",Table2[[#This Row],[Formula weight]],",",Table2[[#This Row],[Formula Age]],")")</f>
        <v>if(${p_weight}&gt;0,if(${p_weight_age}&gt;= and ${p_weight_age}&lt;,"2","--"),if(${p_age}&gt;=12 and ${p_age}&lt;99,"2","--"))</v>
      </c>
      <c r="K37" s="2" t="str">
        <f>GenerateDrugString(Table2[[#This Row],[Min_weight_kg]],Table2[[#This Row],[Max_weight_kg]],Table2[[#This Row],[rate]],Table35[kg])</f>
        <v/>
      </c>
      <c r="L37" s="2" t="str">
        <f>CONCATENATE(Table2[[#This Row],[drugStringLine]],IF(TRIM(Table2[[#This Row],[drugStringLine]])="",""," "),IF(Table2[[#This Row],[drug]]=A38,L38,""))</f>
        <v/>
      </c>
    </row>
    <row r="38" spans="1:12">
      <c r="A38" t="s">
        <v>57</v>
      </c>
      <c r="B38" t="str">
        <f>IF(Table2[[#This Row],[drug]]&lt;&gt;A37,Table2[[#This Row],[drug]],"")</f>
        <v>vitA_25000</v>
      </c>
      <c r="E38">
        <v>0</v>
      </c>
      <c r="F38">
        <v>6</v>
      </c>
      <c r="G38">
        <v>2</v>
      </c>
      <c r="H38" s="2" t="str">
        <f>CONCATENATE("if(${p_weight_age}&gt;=",Table2[[#This Row],[Min_weight_kg]]," and ${p_weight_age}&lt;",Table2[[#This Row],[Max_weight_kg]],",""",Table2[[#This Row],[rate]],""",",IF(Table2[[#This Row],[drug]]=A39,H39,"""--"""),")")</f>
        <v>if(${p_weight_age}&gt;= and ${p_weight_age}&lt;,"2",if(${p_weight_age}&gt;= and ${p_weight_age}&lt;,"4",if(${p_weight_age}&gt;= and ${p_weight_age}&lt;,"8","--")))</v>
      </c>
      <c r="I38" s="2" t="str">
        <f>CONCATENATE("if(${p_age}&gt;=",Table2[[#This Row],[Min_age_months]]," and ${p_age}&lt;",Table2[[#This Row],[Max_age_months]],",""",Table2[[#This Row],[rate]],""",",IF(Table2[[#This Row],[drug]]=A39,I39,"""--"""),")")</f>
        <v>if(${p_age}&gt;=0 and ${p_age}&lt;6,"2",if(${p_age}&gt;=6 and ${p_age}&lt;12,"4",if(${p_age}&gt;=12 and ${p_age}&lt;99,"8","--")))</v>
      </c>
      <c r="J38" s="2" t="str">
        <f>CONCATENATE("if(${p_weight}&gt;0,",Table2[[#This Row],[Formula weight]],",",Table2[[#This Row],[Formula Age]],")")</f>
        <v>if(${p_weight}&gt;0,if(${p_weight_age}&gt;= and ${p_weight_age}&lt;,"2",if(${p_weight_age}&gt;= and ${p_weight_age}&lt;,"4",if(${p_weight_age}&gt;= and ${p_weight_age}&lt;,"8","--"))),if(${p_age}&gt;=0 and ${p_age}&lt;6,"2",if(${p_age}&gt;=6 and ${p_age}&lt;12,"4",if(${p_age}&gt;=12 and ${p_age}&lt;99,"8","--"))))</v>
      </c>
      <c r="K38" s="2" t="str">
        <f>GenerateDrugString(Table2[[#This Row],[Min_weight_kg]],Table2[[#This Row],[Max_weight_kg]],Table2[[#This Row],[rate]],Table35[kg])</f>
        <v/>
      </c>
      <c r="L38" s="2" t="str">
        <f>CONCATENATE(Table2[[#This Row],[drugStringLine]],IF(TRIM(Table2[[#This Row],[drugStringLine]])="",""," "),IF(Table2[[#This Row],[drug]]=A39,L39,""))</f>
        <v/>
      </c>
    </row>
    <row r="39" spans="1:12">
      <c r="A39" t="s">
        <v>57</v>
      </c>
      <c r="B39" t="str">
        <f>IF(Table2[[#This Row],[drug]]&lt;&gt;A38,Table2[[#This Row],[drug]],"")</f>
        <v/>
      </c>
      <c r="E39">
        <v>6</v>
      </c>
      <c r="F39">
        <v>12</v>
      </c>
      <c r="G39">
        <v>4</v>
      </c>
      <c r="H39" s="2" t="str">
        <f>CONCATENATE("if(${p_weight_age}&gt;=",Table2[[#This Row],[Min_weight_kg]]," and ${p_weight_age}&lt;",Table2[[#This Row],[Max_weight_kg]],",""",Table2[[#This Row],[rate]],""",",IF(Table2[[#This Row],[drug]]=A40,H40,"""--"""),")")</f>
        <v>if(${p_weight_age}&gt;= and ${p_weight_age}&lt;,"4",if(${p_weight_age}&gt;= and ${p_weight_age}&lt;,"8","--"))</v>
      </c>
      <c r="I39" s="2" t="str">
        <f>CONCATENATE("if(${p_age}&gt;=",Table2[[#This Row],[Min_age_months]]," and ${p_age}&lt;",Table2[[#This Row],[Max_age_months]],",""",Table2[[#This Row],[rate]],""",",IF(Table2[[#This Row],[drug]]=A40,I40,"""--"""),")")</f>
        <v>if(${p_age}&gt;=6 and ${p_age}&lt;12,"4",if(${p_age}&gt;=12 and ${p_age}&lt;99,"8","--"))</v>
      </c>
      <c r="J39" s="2" t="str">
        <f>CONCATENATE("if(${p_weight}&gt;0,",Table2[[#This Row],[Formula weight]],",",Table2[[#This Row],[Formula Age]],")")</f>
        <v>if(${p_weight}&gt;0,if(${p_weight_age}&gt;= and ${p_weight_age}&lt;,"4",if(${p_weight_age}&gt;= and ${p_weight_age}&lt;,"8","--")),if(${p_age}&gt;=6 and ${p_age}&lt;12,"4",if(${p_age}&gt;=12 and ${p_age}&lt;99,"8","--")))</v>
      </c>
      <c r="K39" s="2" t="str">
        <f>GenerateDrugString(Table2[[#This Row],[Min_weight_kg]],Table2[[#This Row],[Max_weight_kg]],Table2[[#This Row],[rate]],Table35[kg])</f>
        <v/>
      </c>
      <c r="L39" s="2" t="str">
        <f>CONCATENATE(Table2[[#This Row],[drugStringLine]],IF(TRIM(Table2[[#This Row],[drugStringLine]])="",""," "),IF(Table2[[#This Row],[drug]]=A40,L40,""))</f>
        <v/>
      </c>
    </row>
    <row r="40" spans="1:12">
      <c r="A40" t="s">
        <v>57</v>
      </c>
      <c r="B40" t="str">
        <f>IF(Table2[[#This Row],[drug]]&lt;&gt;A39,Table2[[#This Row],[drug]],"")</f>
        <v/>
      </c>
      <c r="E40">
        <v>12</v>
      </c>
      <c r="F40">
        <v>99</v>
      </c>
      <c r="G40">
        <v>8</v>
      </c>
      <c r="H40" s="2" t="str">
        <f>CONCATENATE("if(${p_weight_age}&gt;=",Table2[[#This Row],[Min_weight_kg]]," and ${p_weight_age}&lt;",Table2[[#This Row],[Max_weight_kg]],",""",Table2[[#This Row],[rate]],""",",IF(Table2[[#This Row],[drug]]=A41,H41,"""--"""),")")</f>
        <v>if(${p_weight_age}&gt;= and ${p_weight_age}&lt;,"8","--")</v>
      </c>
      <c r="I40" s="2" t="str">
        <f>CONCATENATE("if(${p_age}&gt;=",Table2[[#This Row],[Min_age_months]]," and ${p_age}&lt;",Table2[[#This Row],[Max_age_months]],",""",Table2[[#This Row],[rate]],""",",IF(Table2[[#This Row],[drug]]=A41,I41,"""--"""),")")</f>
        <v>if(${p_age}&gt;=12 and ${p_age}&lt;99,"8","--")</v>
      </c>
      <c r="J40" s="2" t="str">
        <f>CONCATENATE("if(${p_weight}&gt;0,",Table2[[#This Row],[Formula weight]],",",Table2[[#This Row],[Formula Age]],")")</f>
        <v>if(${p_weight}&gt;0,if(${p_weight_age}&gt;= and ${p_weight_age}&lt;,"8","--"),if(${p_age}&gt;=12 and ${p_age}&lt;99,"8","--"))</v>
      </c>
      <c r="K40" s="2" t="str">
        <f>GenerateDrugString(Table2[[#This Row],[Min_weight_kg]],Table2[[#This Row],[Max_weight_kg]],Table2[[#This Row],[rate]],Table35[kg])</f>
        <v/>
      </c>
      <c r="L40" s="2" t="str">
        <f>CONCATENATE(Table2[[#This Row],[drugStringLine]],IF(TRIM(Table2[[#This Row],[drugStringLine]])="",""," "),IF(Table2[[#This Row],[drug]]=A41,L41,""))</f>
        <v/>
      </c>
    </row>
    <row r="41" spans="1:12">
      <c r="A41" t="s">
        <v>23</v>
      </c>
      <c r="B41" t="str">
        <f>IF(Table2[[#This Row],[drug]]&lt;&gt;A40,Table2[[#This Row],[drug]],"")</f>
        <v>ruft</v>
      </c>
      <c r="C41">
        <v>0</v>
      </c>
      <c r="D41">
        <v>3.5</v>
      </c>
      <c r="G41" s="3" t="s">
        <v>69</v>
      </c>
      <c r="H41" s="2" t="str">
        <f>CONCATENATE("if(${p_weight_age}&gt;=",Table2[[#This Row],[Min_weight_kg]]," and ${p_weight_age}&lt;",Table2[[#This Row],[Max_weight_kg]],",""",Table2[[#This Row],[rate]],""",",IF(Table2[[#This Row],[drug]]=A42,H42,"""--"""),")")</f>
        <v>if(${p_weight_age}&gt;=0 and ${p_weight_age}&lt;3.5,"-",if(${p_weight_age}&gt;=3.5 and ${p_weight_age}&lt;4,"1.5",if(${p_weight_age}&gt;=4 and ${p_weight_age}&lt;5,"2",if(${p_weight_age}&gt;=5 and ${p_weight_age}&lt;7,"2.5",if(${p_weight_age}&gt;=7 and ${p_weight_age}&lt;8.5,"3",if(${p_weight_age}&gt;=8.5 and ${p_weight_age}&lt;9.5,"3.5",if(${p_weight_age}&gt;=9.5 and ${p_weight_age}&lt;10.5,"4",if(${p_weight_age}&gt;=10.5 and ${p_weight_age}&lt;11.9,"4.5",if(${p_weight_age}&gt;=12 and ${p_weight_age}&lt;100,"5","--")))))))))</v>
      </c>
      <c r="I41" s="2" t="str">
        <f>CONCATENATE("if(${p_age}&gt;=",Table2[[#This Row],[Min_age_months]]," and ${p_age}&lt;",Table2[[#This Row],[Max_age_months]],",""",Table2[[#This Row],[rate]],""",",IF(Table2[[#This Row],[drug]]=A42,I42,"""--"""),")")</f>
        <v>if(${p_age}&gt;= and ${p_age}&lt;,"-",if(${p_age}&gt;= and ${p_age}&lt;,"1.5",if(${p_age}&gt;= and ${p_age}&lt;,"2",if(${p_age}&gt;= and ${p_age}&lt;,"2.5",if(${p_age}&gt;= and ${p_age}&lt;,"3",if(${p_age}&gt;= and ${p_age}&lt;,"3.5",if(${p_age}&gt;= and ${p_age}&lt;,"4",if(${p_age}&gt;= and ${p_age}&lt;,"4.5",if(${p_age}&gt;= and ${p_age}&lt;,"5","--")))))))))</v>
      </c>
      <c r="J41" s="2" t="str">
        <f>CONCATENATE("if(${p_weight}&gt;0,",Table2[[#This Row],[Formula weight]],",",Table2[[#This Row],[Formula Age]],")")</f>
        <v>if(${p_weight}&gt;0,if(${p_weight_age}&gt;=0 and ${p_weight_age}&lt;3.5,"-",if(${p_weight_age}&gt;=3.5 and ${p_weight_age}&lt;4,"1.5",if(${p_weight_age}&gt;=4 and ${p_weight_age}&lt;5,"2",if(${p_weight_age}&gt;=5 and ${p_weight_age}&lt;7,"2.5",if(${p_weight_age}&gt;=7 and ${p_weight_age}&lt;8.5,"3",if(${p_weight_age}&gt;=8.5 and ${p_weight_age}&lt;9.5,"3.5",if(${p_weight_age}&gt;=9.5 and ${p_weight_age}&lt;10.5,"4",if(${p_weight_age}&gt;=10.5 and ${p_weight_age}&lt;11.9,"4.5",if(${p_weight_age}&gt;=12 and ${p_weight_age}&lt;100,"5","--"))))))))),if(${p_age}&gt;= and ${p_age}&lt;,"-",if(${p_age}&gt;= and ${p_age}&lt;,"1.5",if(${p_age}&gt;= and ${p_age}&lt;,"2",if(${p_age}&gt;= and ${p_age}&lt;,"2.5",if(${p_age}&gt;= and ${p_age}&lt;,"3",if(${p_age}&gt;= and ${p_age}&lt;,"3.5",if(${p_age}&gt;= and ${p_age}&lt;,"4",if(${p_age}&gt;= and ${p_age}&lt;,"4.5",if(${p_age}&gt;= and ${p_age}&lt;,"5","--"))))))))))</v>
      </c>
      <c r="K41" s="2" t="str">
        <f>GenerateDrugString(Table2[[#This Row],[Min_weight_kg]],Table2[[#This Row],[Max_weight_kg]],Table2[[#This Row],[rate]],Table35[kg])</f>
        <v>- -</v>
      </c>
      <c r="L41" s="2" t="str">
        <f>CONCATENATE(Table2[[#This Row],[drugStringLine]],IF(TRIM(Table2[[#This Row],[drugStringLine]])="",""," "),IF(Table2[[#This Row],[drug]]=A42,L42,""))</f>
        <v xml:space="preserve">- - 1.5 2 2 2.5 2.5 3 3 3.5 4 4 4.5 5 5 5 5 5 </v>
      </c>
    </row>
    <row r="42" spans="1:12">
      <c r="A42" t="s">
        <v>23</v>
      </c>
      <c r="B42" t="str">
        <f>IF(Table2[[#This Row],[drug]]&lt;&gt;A41,Table2[[#This Row],[drug]],"")</f>
        <v/>
      </c>
      <c r="C42">
        <v>3.5</v>
      </c>
      <c r="D42">
        <v>4</v>
      </c>
      <c r="G42">
        <v>1.5</v>
      </c>
      <c r="H42" s="2" t="str">
        <f>CONCATENATE("if(${p_weight_age}&gt;=",Table2[[#This Row],[Min_weight_kg]]," and ${p_weight_age}&lt;",Table2[[#This Row],[Max_weight_kg]],",""",Table2[[#This Row],[rate]],""",",IF(Table2[[#This Row],[drug]]=A43,H43,"""--"""),")")</f>
        <v>if(${p_weight_age}&gt;=3.5 and ${p_weight_age}&lt;4,"1.5",if(${p_weight_age}&gt;=4 and ${p_weight_age}&lt;5,"2",if(${p_weight_age}&gt;=5 and ${p_weight_age}&lt;7,"2.5",if(${p_weight_age}&gt;=7 and ${p_weight_age}&lt;8.5,"3",if(${p_weight_age}&gt;=8.5 and ${p_weight_age}&lt;9.5,"3.5",if(${p_weight_age}&gt;=9.5 and ${p_weight_age}&lt;10.5,"4",if(${p_weight_age}&gt;=10.5 and ${p_weight_age}&lt;11.9,"4.5",if(${p_weight_age}&gt;=12 and ${p_weight_age}&lt;100,"5","--"))))))))</v>
      </c>
      <c r="I42" s="2" t="str">
        <f>CONCATENATE("if(${p_age}&gt;=",Table2[[#This Row],[Min_age_months]]," and ${p_age}&lt;",Table2[[#This Row],[Max_age_months]],",""",Table2[[#This Row],[rate]],""",",IF(Table2[[#This Row],[drug]]=A43,I43,"""--"""),")")</f>
        <v>if(${p_age}&gt;= and ${p_age}&lt;,"1.5",if(${p_age}&gt;= and ${p_age}&lt;,"2",if(${p_age}&gt;= and ${p_age}&lt;,"2.5",if(${p_age}&gt;= and ${p_age}&lt;,"3",if(${p_age}&gt;= and ${p_age}&lt;,"3.5",if(${p_age}&gt;= and ${p_age}&lt;,"4",if(${p_age}&gt;= and ${p_age}&lt;,"4.5",if(${p_age}&gt;= and ${p_age}&lt;,"5","--"))))))))</v>
      </c>
      <c r="J42" s="2" t="str">
        <f>CONCATENATE("if(${p_weight}&gt;0,",Table2[[#This Row],[Formula weight]],",",Table2[[#This Row],[Formula Age]],")")</f>
        <v>if(${p_weight}&gt;0,if(${p_weight_age}&gt;=3.5 and ${p_weight_age}&lt;4,"1.5",if(${p_weight_age}&gt;=4 and ${p_weight_age}&lt;5,"2",if(${p_weight_age}&gt;=5 and ${p_weight_age}&lt;7,"2.5",if(${p_weight_age}&gt;=7 and ${p_weight_age}&lt;8.5,"3",if(${p_weight_age}&gt;=8.5 and ${p_weight_age}&lt;9.5,"3.5",if(${p_weight_age}&gt;=9.5 and ${p_weight_age}&lt;10.5,"4",if(${p_weight_age}&gt;=10.5 and ${p_weight_age}&lt;11.9,"4.5",if(${p_weight_age}&gt;=12 and ${p_weight_age}&lt;100,"5","--")))))))),if(${p_age}&gt;= and ${p_age}&lt;,"1.5",if(${p_age}&gt;= and ${p_age}&lt;,"2",if(${p_age}&gt;= and ${p_age}&lt;,"2.5",if(${p_age}&gt;= and ${p_age}&lt;,"3",if(${p_age}&gt;= and ${p_age}&lt;,"3.5",if(${p_age}&gt;= and ${p_age}&lt;,"4",if(${p_age}&gt;= and ${p_age}&lt;,"4.5",if(${p_age}&gt;= and ${p_age}&lt;,"5","--")))))))))</v>
      </c>
      <c r="K42" s="2" t="str">
        <f>GenerateDrugString(Table2[[#This Row],[Min_weight_kg]],Table2[[#This Row],[Max_weight_kg]],Table2[[#This Row],[rate]],Table35[kg])</f>
        <v>1.5</v>
      </c>
      <c r="L42" s="2" t="str">
        <f>CONCATENATE(Table2[[#This Row],[drugStringLine]],IF(TRIM(Table2[[#This Row],[drugStringLine]])="",""," "),IF(Table2[[#This Row],[drug]]=A43,L43,""))</f>
        <v xml:space="preserve">1.5 2 2 2.5 2.5 3 3 3.5 4 4 4.5 5 5 5 5 5 </v>
      </c>
    </row>
    <row r="43" spans="1:12">
      <c r="A43" t="s">
        <v>23</v>
      </c>
      <c r="B43" t="str">
        <f>IF(Table2[[#This Row],[drug]]&lt;&gt;A42,Table2[[#This Row],[drug]],"")</f>
        <v/>
      </c>
      <c r="C43">
        <v>4</v>
      </c>
      <c r="D43">
        <v>5</v>
      </c>
      <c r="G43">
        <v>2</v>
      </c>
      <c r="H43" s="2" t="str">
        <f>CONCATENATE("if(${p_weight_age}&gt;=",Table2[[#This Row],[Min_weight_kg]]," and ${p_weight_age}&lt;",Table2[[#This Row],[Max_weight_kg]],",""",Table2[[#This Row],[rate]],""",",IF(Table2[[#This Row],[drug]]=A44,H44,"""--"""),")")</f>
        <v>if(${p_weight_age}&gt;=4 and ${p_weight_age}&lt;5,"2",if(${p_weight_age}&gt;=5 and ${p_weight_age}&lt;7,"2.5",if(${p_weight_age}&gt;=7 and ${p_weight_age}&lt;8.5,"3",if(${p_weight_age}&gt;=8.5 and ${p_weight_age}&lt;9.5,"3.5",if(${p_weight_age}&gt;=9.5 and ${p_weight_age}&lt;10.5,"4",if(${p_weight_age}&gt;=10.5 and ${p_weight_age}&lt;11.9,"4.5",if(${p_weight_age}&gt;=12 and ${p_weight_age}&lt;100,"5","--")))))))</v>
      </c>
      <c r="I43" s="2" t="str">
        <f>CONCATENATE("if(${p_age}&gt;=",Table2[[#This Row],[Min_age_months]]," and ${p_age}&lt;",Table2[[#This Row],[Max_age_months]],",""",Table2[[#This Row],[rate]],""",",IF(Table2[[#This Row],[drug]]=A44,I44,"""--"""),")")</f>
        <v>if(${p_age}&gt;= and ${p_age}&lt;,"2",if(${p_age}&gt;= and ${p_age}&lt;,"2.5",if(${p_age}&gt;= and ${p_age}&lt;,"3",if(${p_age}&gt;= and ${p_age}&lt;,"3.5",if(${p_age}&gt;= and ${p_age}&lt;,"4",if(${p_age}&gt;= and ${p_age}&lt;,"4.5",if(${p_age}&gt;= and ${p_age}&lt;,"5","--")))))))</v>
      </c>
      <c r="J43" s="2" t="str">
        <f>CONCATENATE("if(${p_weight}&gt;0,",Table2[[#This Row],[Formula weight]],",",Table2[[#This Row],[Formula Age]],")")</f>
        <v>if(${p_weight}&gt;0,if(${p_weight_age}&gt;=4 and ${p_weight_age}&lt;5,"2",if(${p_weight_age}&gt;=5 and ${p_weight_age}&lt;7,"2.5",if(${p_weight_age}&gt;=7 and ${p_weight_age}&lt;8.5,"3",if(${p_weight_age}&gt;=8.5 and ${p_weight_age}&lt;9.5,"3.5",if(${p_weight_age}&gt;=9.5 and ${p_weight_age}&lt;10.5,"4",if(${p_weight_age}&gt;=10.5 and ${p_weight_age}&lt;11.9,"4.5",if(${p_weight_age}&gt;=12 and ${p_weight_age}&lt;100,"5","--"))))))),if(${p_age}&gt;= and ${p_age}&lt;,"2",if(${p_age}&gt;= and ${p_age}&lt;,"2.5",if(${p_age}&gt;= and ${p_age}&lt;,"3",if(${p_age}&gt;= and ${p_age}&lt;,"3.5",if(${p_age}&gt;= and ${p_age}&lt;,"4",if(${p_age}&gt;= and ${p_age}&lt;,"4.5",if(${p_age}&gt;= and ${p_age}&lt;,"5","--"))))))))</v>
      </c>
      <c r="K43" s="2" t="str">
        <f>GenerateDrugString(Table2[[#This Row],[Min_weight_kg]],Table2[[#This Row],[Max_weight_kg]],Table2[[#This Row],[rate]],Table35[kg])</f>
        <v>2 2</v>
      </c>
      <c r="L43" s="2" t="str">
        <f>CONCATENATE(Table2[[#This Row],[drugStringLine]],IF(TRIM(Table2[[#This Row],[drugStringLine]])="",""," "),IF(Table2[[#This Row],[drug]]=A44,L44,""))</f>
        <v xml:space="preserve">2 2 2.5 2.5 3 3 3.5 4 4 4.5 5 5 5 5 5 </v>
      </c>
    </row>
    <row r="44" spans="1:12">
      <c r="A44" t="s">
        <v>23</v>
      </c>
      <c r="B44" t="str">
        <f>IF(Table2[[#This Row],[drug]]&lt;&gt;A43,Table2[[#This Row],[drug]],"")</f>
        <v/>
      </c>
      <c r="C44">
        <v>5</v>
      </c>
      <c r="D44">
        <v>7</v>
      </c>
      <c r="G44">
        <v>2.5</v>
      </c>
      <c r="H44" s="2" t="str">
        <f>CONCATENATE("if(${p_weight_age}&gt;=",Table2[[#This Row],[Min_weight_kg]]," and ${p_weight_age}&lt;",Table2[[#This Row],[Max_weight_kg]],",""",Table2[[#This Row],[rate]],""",",IF(Table2[[#This Row],[drug]]=A45,H45,"""--"""),")")</f>
        <v>if(${p_weight_age}&gt;=5 and ${p_weight_age}&lt;7,"2.5",if(${p_weight_age}&gt;=7 and ${p_weight_age}&lt;8.5,"3",if(${p_weight_age}&gt;=8.5 and ${p_weight_age}&lt;9.5,"3.5",if(${p_weight_age}&gt;=9.5 and ${p_weight_age}&lt;10.5,"4",if(${p_weight_age}&gt;=10.5 and ${p_weight_age}&lt;11.9,"4.5",if(${p_weight_age}&gt;=12 and ${p_weight_age}&lt;100,"5","--"))))))</v>
      </c>
      <c r="I44" s="2" t="str">
        <f>CONCATENATE("if(${p_age}&gt;=",Table2[[#This Row],[Min_age_months]]," and ${p_age}&lt;",Table2[[#This Row],[Max_age_months]],",""",Table2[[#This Row],[rate]],""",",IF(Table2[[#This Row],[drug]]=A45,I45,"""--"""),")")</f>
        <v>if(${p_age}&gt;= and ${p_age}&lt;,"2.5",if(${p_age}&gt;= and ${p_age}&lt;,"3",if(${p_age}&gt;= and ${p_age}&lt;,"3.5",if(${p_age}&gt;= and ${p_age}&lt;,"4",if(${p_age}&gt;= and ${p_age}&lt;,"4.5",if(${p_age}&gt;= and ${p_age}&lt;,"5","--"))))))</v>
      </c>
      <c r="J44" s="2" t="str">
        <f>CONCATENATE("if(${p_weight}&gt;0,",Table2[[#This Row],[Formula weight]],",",Table2[[#This Row],[Formula Age]],")")</f>
        <v>if(${p_weight}&gt;0,if(${p_weight_age}&gt;=5 and ${p_weight_age}&lt;7,"2.5",if(${p_weight_age}&gt;=7 and ${p_weight_age}&lt;8.5,"3",if(${p_weight_age}&gt;=8.5 and ${p_weight_age}&lt;9.5,"3.5",if(${p_weight_age}&gt;=9.5 and ${p_weight_age}&lt;10.5,"4",if(${p_weight_age}&gt;=10.5 and ${p_weight_age}&lt;11.9,"4.5",if(${p_weight_age}&gt;=12 and ${p_weight_age}&lt;100,"5","--")))))),if(${p_age}&gt;= and ${p_age}&lt;,"2.5",if(${p_age}&gt;= and ${p_age}&lt;,"3",if(${p_age}&gt;= and ${p_age}&lt;,"3.5",if(${p_age}&gt;= and ${p_age}&lt;,"4",if(${p_age}&gt;= and ${p_age}&lt;,"4.5",if(${p_age}&gt;= and ${p_age}&lt;,"5","--")))))))</v>
      </c>
      <c r="K44" s="2" t="str">
        <f>GenerateDrugString(Table2[[#This Row],[Min_weight_kg]],Table2[[#This Row],[Max_weight_kg]],Table2[[#This Row],[rate]],Table35[kg])</f>
        <v>2.5 2.5</v>
      </c>
      <c r="L44" s="2" t="str">
        <f>CONCATENATE(Table2[[#This Row],[drugStringLine]],IF(TRIM(Table2[[#This Row],[drugStringLine]])="",""," "),IF(Table2[[#This Row],[drug]]=A45,L45,""))</f>
        <v xml:space="preserve">2.5 2.5 3 3 3.5 4 4 4.5 5 5 5 5 5 </v>
      </c>
    </row>
    <row r="45" spans="1:12">
      <c r="A45" t="s">
        <v>23</v>
      </c>
      <c r="B45" t="str">
        <f>IF(Table2[[#This Row],[drug]]&lt;&gt;A44,Table2[[#This Row],[drug]],"")</f>
        <v/>
      </c>
      <c r="C45">
        <v>7</v>
      </c>
      <c r="D45">
        <v>8.5</v>
      </c>
      <c r="G45">
        <v>3</v>
      </c>
      <c r="H45" s="2" t="str">
        <f>CONCATENATE("if(${p_weight_age}&gt;=",Table2[[#This Row],[Min_weight_kg]]," and ${p_weight_age}&lt;",Table2[[#This Row],[Max_weight_kg]],",""",Table2[[#This Row],[rate]],""",",IF(Table2[[#This Row],[drug]]=A46,H46,"""--"""),")")</f>
        <v>if(${p_weight_age}&gt;=7 and ${p_weight_age}&lt;8.5,"3",if(${p_weight_age}&gt;=8.5 and ${p_weight_age}&lt;9.5,"3.5",if(${p_weight_age}&gt;=9.5 and ${p_weight_age}&lt;10.5,"4",if(${p_weight_age}&gt;=10.5 and ${p_weight_age}&lt;11.9,"4.5",if(${p_weight_age}&gt;=12 and ${p_weight_age}&lt;100,"5","--")))))</v>
      </c>
      <c r="I45" s="2" t="str">
        <f>CONCATENATE("if(${p_age}&gt;=",Table2[[#This Row],[Min_age_months]]," and ${p_age}&lt;",Table2[[#This Row],[Max_age_months]],",""",Table2[[#This Row],[rate]],""",",IF(Table2[[#This Row],[drug]]=A46,I46,"""--"""),")")</f>
        <v>if(${p_age}&gt;= and ${p_age}&lt;,"3",if(${p_age}&gt;= and ${p_age}&lt;,"3.5",if(${p_age}&gt;= and ${p_age}&lt;,"4",if(${p_age}&gt;= and ${p_age}&lt;,"4.5",if(${p_age}&gt;= and ${p_age}&lt;,"5","--")))))</v>
      </c>
      <c r="J45" s="2" t="str">
        <f>CONCATENATE("if(${p_weight}&gt;0,",Table2[[#This Row],[Formula weight]],",",Table2[[#This Row],[Formula Age]],")")</f>
        <v>if(${p_weight}&gt;0,if(${p_weight_age}&gt;=7 and ${p_weight_age}&lt;8.5,"3",if(${p_weight_age}&gt;=8.5 and ${p_weight_age}&lt;9.5,"3.5",if(${p_weight_age}&gt;=9.5 and ${p_weight_age}&lt;10.5,"4",if(${p_weight_age}&gt;=10.5 and ${p_weight_age}&lt;11.9,"4.5",if(${p_weight_age}&gt;=12 and ${p_weight_age}&lt;100,"5","--"))))),if(${p_age}&gt;= and ${p_age}&lt;,"3",if(${p_age}&gt;= and ${p_age}&lt;,"3.5",if(${p_age}&gt;= and ${p_age}&lt;,"4",if(${p_age}&gt;= and ${p_age}&lt;,"4.5",if(${p_age}&gt;= and ${p_age}&lt;,"5","--"))))))</v>
      </c>
      <c r="K45" s="2" t="str">
        <f>GenerateDrugString(Table2[[#This Row],[Min_weight_kg]],Table2[[#This Row],[Max_weight_kg]],Table2[[#This Row],[rate]],Table35[kg])</f>
        <v>3 3</v>
      </c>
      <c r="L45" s="2" t="str">
        <f>CONCATENATE(Table2[[#This Row],[drugStringLine]],IF(TRIM(Table2[[#This Row],[drugStringLine]])="",""," "),IF(Table2[[#This Row],[drug]]=A46,L46,""))</f>
        <v xml:space="preserve">3 3 3.5 4 4 4.5 5 5 5 5 5 </v>
      </c>
    </row>
    <row r="46" spans="1:12">
      <c r="A46" t="s">
        <v>23</v>
      </c>
      <c r="B46" t="str">
        <f>IF(Table2[[#This Row],[drug]]&lt;&gt;A45,Table2[[#This Row],[drug]],"")</f>
        <v/>
      </c>
      <c r="C46">
        <v>8.5</v>
      </c>
      <c r="D46">
        <v>9.5</v>
      </c>
      <c r="G46">
        <v>3.5</v>
      </c>
      <c r="H46" s="2" t="str">
        <f>CONCATENATE("if(${p_weight_age}&gt;=",Table2[[#This Row],[Min_weight_kg]]," and ${p_weight_age}&lt;",Table2[[#This Row],[Max_weight_kg]],",""",Table2[[#This Row],[rate]],""",",IF(Table2[[#This Row],[drug]]=A47,H47,"""--"""),")")</f>
        <v>if(${p_weight_age}&gt;=8.5 and ${p_weight_age}&lt;9.5,"3.5",if(${p_weight_age}&gt;=9.5 and ${p_weight_age}&lt;10.5,"4",if(${p_weight_age}&gt;=10.5 and ${p_weight_age}&lt;11.9,"4.5",if(${p_weight_age}&gt;=12 and ${p_weight_age}&lt;100,"5","--"))))</v>
      </c>
      <c r="I46" s="2" t="str">
        <f>CONCATENATE("if(${p_age}&gt;=",Table2[[#This Row],[Min_age_months]]," and ${p_age}&lt;",Table2[[#This Row],[Max_age_months]],",""",Table2[[#This Row],[rate]],""",",IF(Table2[[#This Row],[drug]]=A47,I47,"""--"""),")")</f>
        <v>if(${p_age}&gt;= and ${p_age}&lt;,"3.5",if(${p_age}&gt;= and ${p_age}&lt;,"4",if(${p_age}&gt;= and ${p_age}&lt;,"4.5",if(${p_age}&gt;= and ${p_age}&lt;,"5","--"))))</v>
      </c>
      <c r="J46" s="2" t="str">
        <f>CONCATENATE("if(${p_weight}&gt;0,",Table2[[#This Row],[Formula weight]],",",Table2[[#This Row],[Formula Age]],")")</f>
        <v>if(${p_weight}&gt;0,if(${p_weight_age}&gt;=8.5 and ${p_weight_age}&lt;9.5,"3.5",if(${p_weight_age}&gt;=9.5 and ${p_weight_age}&lt;10.5,"4",if(${p_weight_age}&gt;=10.5 and ${p_weight_age}&lt;11.9,"4.5",if(${p_weight_age}&gt;=12 and ${p_weight_age}&lt;100,"5","--")))),if(${p_age}&gt;= and ${p_age}&lt;,"3.5",if(${p_age}&gt;= and ${p_age}&lt;,"4",if(${p_age}&gt;= and ${p_age}&lt;,"4.5",if(${p_age}&gt;= and ${p_age}&lt;,"5","--")))))</v>
      </c>
      <c r="K46" s="2" t="str">
        <f>GenerateDrugString(Table2[[#This Row],[Min_weight_kg]],Table2[[#This Row],[Max_weight_kg]],Table2[[#This Row],[rate]],Table35[kg])</f>
        <v>3.5</v>
      </c>
      <c r="L46" s="2" t="str">
        <f>CONCATENATE(Table2[[#This Row],[drugStringLine]],IF(TRIM(Table2[[#This Row],[drugStringLine]])="",""," "),IF(Table2[[#This Row],[drug]]=A47,L47,""))</f>
        <v xml:space="preserve">3.5 4 4 4.5 5 5 5 5 5 </v>
      </c>
    </row>
    <row r="47" spans="1:12">
      <c r="A47" t="s">
        <v>23</v>
      </c>
      <c r="B47" t="str">
        <f>IF(Table2[[#This Row],[drug]]&lt;&gt;A46,Table2[[#This Row],[drug]],"")</f>
        <v/>
      </c>
      <c r="C47">
        <v>9.5</v>
      </c>
      <c r="D47">
        <v>10.5</v>
      </c>
      <c r="G47">
        <v>4</v>
      </c>
      <c r="H47" s="2" t="str">
        <f>CONCATENATE("if(${p_weight_age}&gt;=",Table2[[#This Row],[Min_weight_kg]]," and ${p_weight_age}&lt;",Table2[[#This Row],[Max_weight_kg]],",""",Table2[[#This Row],[rate]],""",",IF(Table2[[#This Row],[drug]]=A48,H48,"""--"""),")")</f>
        <v>if(${p_weight_age}&gt;=9.5 and ${p_weight_age}&lt;10.5,"4",if(${p_weight_age}&gt;=10.5 and ${p_weight_age}&lt;11.9,"4.5",if(${p_weight_age}&gt;=12 and ${p_weight_age}&lt;100,"5","--")))</v>
      </c>
      <c r="I47" s="2" t="str">
        <f>CONCATENATE("if(${p_age}&gt;=",Table2[[#This Row],[Min_age_months]]," and ${p_age}&lt;",Table2[[#This Row],[Max_age_months]],",""",Table2[[#This Row],[rate]],""",",IF(Table2[[#This Row],[drug]]=A48,I48,"""--"""),")")</f>
        <v>if(${p_age}&gt;= and ${p_age}&lt;,"4",if(${p_age}&gt;= and ${p_age}&lt;,"4.5",if(${p_age}&gt;= and ${p_age}&lt;,"5","--")))</v>
      </c>
      <c r="J47" s="2" t="str">
        <f>CONCATENATE("if(${p_weight}&gt;0,",Table2[[#This Row],[Formula weight]],",",Table2[[#This Row],[Formula Age]],")")</f>
        <v>if(${p_weight}&gt;0,if(${p_weight_age}&gt;=9.5 and ${p_weight_age}&lt;10.5,"4",if(${p_weight_age}&gt;=10.5 and ${p_weight_age}&lt;11.9,"4.5",if(${p_weight_age}&gt;=12 and ${p_weight_age}&lt;100,"5","--"))),if(${p_age}&gt;= and ${p_age}&lt;,"4",if(${p_age}&gt;= and ${p_age}&lt;,"4.5",if(${p_age}&gt;= and ${p_age}&lt;,"5","--"))))</v>
      </c>
      <c r="K47" s="2" t="str">
        <f>GenerateDrugString(Table2[[#This Row],[Min_weight_kg]],Table2[[#This Row],[Max_weight_kg]],Table2[[#This Row],[rate]],Table35[kg])</f>
        <v>4 4</v>
      </c>
      <c r="L47" s="2" t="str">
        <f>CONCATENATE(Table2[[#This Row],[drugStringLine]],IF(TRIM(Table2[[#This Row],[drugStringLine]])="",""," "),IF(Table2[[#This Row],[drug]]=A48,L48,""))</f>
        <v xml:space="preserve">4 4 4.5 5 5 5 5 5 </v>
      </c>
    </row>
    <row r="48" spans="1:12">
      <c r="A48" t="s">
        <v>23</v>
      </c>
      <c r="B48" t="str">
        <f>IF(Table2[[#This Row],[drug]]&lt;&gt;A47,Table2[[#This Row],[drug]],"")</f>
        <v/>
      </c>
      <c r="C48">
        <v>10.5</v>
      </c>
      <c r="D48">
        <v>11.9</v>
      </c>
      <c r="G48">
        <v>4.5</v>
      </c>
      <c r="H48" s="2" t="str">
        <f>CONCATENATE("if(${p_weight_age}&gt;=",Table2[[#This Row],[Min_weight_kg]]," and ${p_weight_age}&lt;",Table2[[#This Row],[Max_weight_kg]],",""",Table2[[#This Row],[rate]],""",",IF(Table2[[#This Row],[drug]]=A49,H49,"""--"""),")")</f>
        <v>if(${p_weight_age}&gt;=10.5 and ${p_weight_age}&lt;11.9,"4.5",if(${p_weight_age}&gt;=12 and ${p_weight_age}&lt;100,"5","--"))</v>
      </c>
      <c r="I48" s="2" t="str">
        <f>CONCATENATE("if(${p_age}&gt;=",Table2[[#This Row],[Min_age_months]]," and ${p_age}&lt;",Table2[[#This Row],[Max_age_months]],",""",Table2[[#This Row],[rate]],""",",IF(Table2[[#This Row],[drug]]=A49,I49,"""--"""),")")</f>
        <v>if(${p_age}&gt;= and ${p_age}&lt;,"4.5",if(${p_age}&gt;= and ${p_age}&lt;,"5","--"))</v>
      </c>
      <c r="J48" s="2" t="str">
        <f>CONCATENATE("if(${p_weight}&gt;0,",Table2[[#This Row],[Formula weight]],",",Table2[[#This Row],[Formula Age]],")")</f>
        <v>if(${p_weight}&gt;0,if(${p_weight_age}&gt;=10.5 and ${p_weight_age}&lt;11.9,"4.5",if(${p_weight_age}&gt;=12 and ${p_weight_age}&lt;100,"5","--")),if(${p_age}&gt;= and ${p_age}&lt;,"4.5",if(${p_age}&gt;= and ${p_age}&lt;,"5","--")))</v>
      </c>
      <c r="K48" s="2" t="str">
        <f>GenerateDrugString(Table2[[#This Row],[Min_weight_kg]],Table2[[#This Row],[Max_weight_kg]],Table2[[#This Row],[rate]],Table35[kg])</f>
        <v>4.5</v>
      </c>
      <c r="L48" s="2" t="str">
        <f>CONCATENATE(Table2[[#This Row],[drugStringLine]],IF(TRIM(Table2[[#This Row],[drugStringLine]])="",""," "),IF(Table2[[#This Row],[drug]]=A49,L49,""))</f>
        <v xml:space="preserve">4.5 5 5 5 5 5 </v>
      </c>
    </row>
    <row r="49" spans="1:12">
      <c r="A49" t="s">
        <v>23</v>
      </c>
      <c r="B49" t="str">
        <f>IF(Table2[[#This Row],[drug]]&lt;&gt;A48,Table2[[#This Row],[drug]],"")</f>
        <v/>
      </c>
      <c r="C49">
        <v>12</v>
      </c>
      <c r="D49">
        <v>100</v>
      </c>
      <c r="G49">
        <v>5</v>
      </c>
      <c r="H49" s="2" t="str">
        <f>CONCATENATE("if(${p_weight_age}&gt;=",Table2[[#This Row],[Min_weight_kg]]," and ${p_weight_age}&lt;",Table2[[#This Row],[Max_weight_kg]],",""",Table2[[#This Row],[rate]],""",",IF(Table2[[#This Row],[drug]]=A50,H50,"""--"""),")")</f>
        <v>if(${p_weight_age}&gt;=12 and ${p_weight_age}&lt;100,"5","--")</v>
      </c>
      <c r="I49" s="2" t="str">
        <f>CONCATENATE("if(${p_age}&gt;=",Table2[[#This Row],[Min_age_months]]," and ${p_age}&lt;",Table2[[#This Row],[Max_age_months]],",""",Table2[[#This Row],[rate]],""",",IF(Table2[[#This Row],[drug]]=A50,I50,"""--"""),")")</f>
        <v>if(${p_age}&gt;= and ${p_age}&lt;,"5","--")</v>
      </c>
      <c r="J49" s="2" t="str">
        <f>CONCATENATE("if(${p_weight}&gt;0,",Table2[[#This Row],[Formula weight]],",",Table2[[#This Row],[Formula Age]],")")</f>
        <v>if(${p_weight}&gt;0,if(${p_weight_age}&gt;=12 and ${p_weight_age}&lt;100,"5","--"),if(${p_age}&gt;= and ${p_age}&lt;,"5","--"))</v>
      </c>
      <c r="K49" s="2" t="str">
        <f>GenerateDrugString(Table2[[#This Row],[Min_weight_kg]],Table2[[#This Row],[Max_weight_kg]],Table2[[#This Row],[rate]],Table35[kg])</f>
        <v>5 5 5 5 5</v>
      </c>
      <c r="L49" s="2" t="str">
        <f>CONCATENATE(Table2[[#This Row],[drugStringLine]],IF(TRIM(Table2[[#This Row],[drugStringLine]])="",""," "),IF(Table2[[#This Row],[drug]]=A50,L50,""))</f>
        <v xml:space="preserve">5 5 5 5 5 </v>
      </c>
    </row>
    <row r="50" spans="1:12">
      <c r="A50" t="s">
        <v>50</v>
      </c>
      <c r="B50" t="str">
        <f>IF(Table2[[#This Row],[drug]]&lt;&gt;A49,Table2[[#This Row],[drug]],"")</f>
        <v>artemether_im_ml</v>
      </c>
      <c r="C50">
        <v>0</v>
      </c>
      <c r="D50">
        <v>3</v>
      </c>
      <c r="G50">
        <v>0</v>
      </c>
      <c r="H50" s="2" t="str">
        <f>CONCATENATE("if(${p_weight_age}&gt;=",Table2[[#This Row],[Min_weight_kg]]," and ${p_weight_age}&lt;",Table2[[#This Row],[Max_weight_kg]],",""",Table2[[#This Row],[rate]],""",",IF(Table2[[#This Row],[drug]]=A51,H51,"""--"""),")")</f>
        <v>if(${p_weight_age}&gt;=0 and ${p_weight_age}&lt;3,"0",if(${p_weight_age}&gt;=3 and ${p_weight_age}&lt;6,"0.1",if(${p_weight_age}&gt;=6 and ${p_weight_age}&lt;10,"0.2",if(${p_weight_age}&gt;=10 and ${p_weight_age}&lt;12,"0.25",if(${p_weight_age}&gt;=12 and ${p_weight_age}&lt;15,"0.3",if(${p_weight_age}&gt;=15 and ${p_weight_age}&lt;100,"0.4","--"))))))</v>
      </c>
      <c r="I50" s="2" t="str">
        <f>CONCATENATE("if(${p_age}&gt;=",Table2[[#This Row],[Min_age_months]]," and ${p_age}&lt;",Table2[[#This Row],[Max_age_months]],",""",Table2[[#This Row],[rate]],""",",IF(Table2[[#This Row],[drug]]=A51,I51,"""--"""),")")</f>
        <v>if(${p_age}&gt;= and ${p_age}&lt;,"0",if(${p_age}&gt;= and ${p_age}&lt;,"0.1",if(${p_age}&gt;= and ${p_age}&lt;,"0.2",if(${p_age}&gt;= and ${p_age}&lt;,"0.25",if(${p_age}&gt;= and ${p_age}&lt;,"0.3",if(${p_age}&gt;= and ${p_age}&lt;,"0.4","--"))))))</v>
      </c>
      <c r="J50" s="2" t="str">
        <f>CONCATENATE("if(${p_weight}&gt;0,",Table2[[#This Row],[Formula weight]],",",Table2[[#This Row],[Formula Age]],")")</f>
        <v>if(${p_weight}&gt;0,if(${p_weight_age}&gt;=0 and ${p_weight_age}&lt;3,"0",if(${p_weight_age}&gt;=3 and ${p_weight_age}&lt;6,"0.1",if(${p_weight_age}&gt;=6 and ${p_weight_age}&lt;10,"0.2",if(${p_weight_age}&gt;=10 and ${p_weight_age}&lt;12,"0.25",if(${p_weight_age}&gt;=12 and ${p_weight_age}&lt;15,"0.3",if(${p_weight_age}&gt;=15 and ${p_weight_age}&lt;100,"0.4","--")))))),if(${p_age}&gt;= and ${p_age}&lt;,"0",if(${p_age}&gt;= and ${p_age}&lt;,"0.1",if(${p_age}&gt;= and ${p_age}&lt;,"0.2",if(${p_age}&gt;= and ${p_age}&lt;,"0.25",if(${p_age}&gt;= and ${p_age}&lt;,"0.3",if(${p_age}&gt;= and ${p_age}&lt;,"0.4","--")))))))</v>
      </c>
      <c r="K50" s="2" t="str">
        <f>GenerateDrugString(Table2[[#This Row],[Min_weight_kg]],Table2[[#This Row],[Max_weight_kg]],Table2[[#This Row],[rate]],Table35[kg])</f>
        <v>0</v>
      </c>
      <c r="L50" s="2" t="str">
        <f>CONCATENATE(Table2[[#This Row],[drugStringLine]],IF(TRIM(Table2[[#This Row],[drugStringLine]])="",""," "),IF(Table2[[#This Row],[drug]]=A51,L51,""))</f>
        <v xml:space="preserve">0 0.1 0.1 0.1 0.1 0.1 0.2 0.2 0.2 0.2 0.2 0.25 0.25 0.3 0.3 0.4 0.4 0.4 </v>
      </c>
    </row>
    <row r="51" spans="1:12">
      <c r="A51" t="s">
        <v>50</v>
      </c>
      <c r="B51" t="str">
        <f>IF(Table2[[#This Row],[drug]]&lt;&gt;A50,Table2[[#This Row],[drug]],"")</f>
        <v/>
      </c>
      <c r="C51">
        <v>3</v>
      </c>
      <c r="D51">
        <v>6</v>
      </c>
      <c r="G51">
        <v>0.1</v>
      </c>
      <c r="H51" s="2" t="str">
        <f>CONCATENATE("if(${p_weight_age}&gt;=",Table2[[#This Row],[Min_weight_kg]]," and ${p_weight_age}&lt;",Table2[[#This Row],[Max_weight_kg]],",""",Table2[[#This Row],[rate]],""",",IF(Table2[[#This Row],[drug]]=A52,H52,"""--"""),")")</f>
        <v>if(${p_weight_age}&gt;=3 and ${p_weight_age}&lt;6,"0.1",if(${p_weight_age}&gt;=6 and ${p_weight_age}&lt;10,"0.2",if(${p_weight_age}&gt;=10 and ${p_weight_age}&lt;12,"0.25",if(${p_weight_age}&gt;=12 and ${p_weight_age}&lt;15,"0.3",if(${p_weight_age}&gt;=15 and ${p_weight_age}&lt;100,"0.4","--")))))</v>
      </c>
      <c r="I51" s="2" t="str">
        <f>CONCATENATE("if(${p_age}&gt;=",Table2[[#This Row],[Min_age_months]]," and ${p_age}&lt;",Table2[[#This Row],[Max_age_months]],",""",Table2[[#This Row],[rate]],""",",IF(Table2[[#This Row],[drug]]=A52,I52,"""--"""),")")</f>
        <v>if(${p_age}&gt;= and ${p_age}&lt;,"0.1",if(${p_age}&gt;= and ${p_age}&lt;,"0.2",if(${p_age}&gt;= and ${p_age}&lt;,"0.25",if(${p_age}&gt;= and ${p_age}&lt;,"0.3",if(${p_age}&gt;= and ${p_age}&lt;,"0.4","--")))))</v>
      </c>
      <c r="J51" s="2" t="str">
        <f>CONCATENATE("if(${p_weight}&gt;0,",Table2[[#This Row],[Formula weight]],",",Table2[[#This Row],[Formula Age]],")")</f>
        <v>if(${p_weight}&gt;0,if(${p_weight_age}&gt;=3 and ${p_weight_age}&lt;6,"0.1",if(${p_weight_age}&gt;=6 and ${p_weight_age}&lt;10,"0.2",if(${p_weight_age}&gt;=10 and ${p_weight_age}&lt;12,"0.25",if(${p_weight_age}&gt;=12 and ${p_weight_age}&lt;15,"0.3",if(${p_weight_age}&gt;=15 and ${p_weight_age}&lt;100,"0.4","--"))))),if(${p_age}&gt;= and ${p_age}&lt;,"0.1",if(${p_age}&gt;= and ${p_age}&lt;,"0.2",if(${p_age}&gt;= and ${p_age}&lt;,"0.25",if(${p_age}&gt;= and ${p_age}&lt;,"0.3",if(${p_age}&gt;= and ${p_age}&lt;,"0.4","--"))))))</v>
      </c>
      <c r="K51" s="2" t="str">
        <f>GenerateDrugString(Table2[[#This Row],[Min_weight_kg]],Table2[[#This Row],[Max_weight_kg]],Table2[[#This Row],[rate]],Table35[kg])</f>
        <v>0.1 0.1 0.1 0.1 0.1</v>
      </c>
      <c r="L51" s="2" t="str">
        <f>CONCATENATE(Table2[[#This Row],[drugStringLine]],IF(TRIM(Table2[[#This Row],[drugStringLine]])="",""," "),IF(Table2[[#This Row],[drug]]=A52,L52,""))</f>
        <v xml:space="preserve">0.1 0.1 0.1 0.1 0.1 0.2 0.2 0.2 0.2 0.2 0.25 0.25 0.3 0.3 0.4 0.4 0.4 </v>
      </c>
    </row>
    <row r="52" spans="1:12">
      <c r="A52" t="s">
        <v>50</v>
      </c>
      <c r="B52" t="str">
        <f>IF(Table2[[#This Row],[drug]]&lt;&gt;A51,Table2[[#This Row],[drug]],"")</f>
        <v/>
      </c>
      <c r="C52">
        <v>6</v>
      </c>
      <c r="D52">
        <v>10</v>
      </c>
      <c r="G52">
        <v>0.2</v>
      </c>
      <c r="H52" s="2" t="str">
        <f>CONCATENATE("if(${p_weight_age}&gt;=",Table2[[#This Row],[Min_weight_kg]]," and ${p_weight_age}&lt;",Table2[[#This Row],[Max_weight_kg]],",""",Table2[[#This Row],[rate]],""",",IF(Table2[[#This Row],[drug]]=A53,H53,"""--"""),")")</f>
        <v>if(${p_weight_age}&gt;=6 and ${p_weight_age}&lt;10,"0.2",if(${p_weight_age}&gt;=10 and ${p_weight_age}&lt;12,"0.25",if(${p_weight_age}&gt;=12 and ${p_weight_age}&lt;15,"0.3",if(${p_weight_age}&gt;=15 and ${p_weight_age}&lt;100,"0.4","--"))))</v>
      </c>
      <c r="I52" s="2" t="str">
        <f>CONCATENATE("if(${p_age}&gt;=",Table2[[#This Row],[Min_age_months]]," and ${p_age}&lt;",Table2[[#This Row],[Max_age_months]],",""",Table2[[#This Row],[rate]],""",",IF(Table2[[#This Row],[drug]]=A53,I53,"""--"""),")")</f>
        <v>if(${p_age}&gt;= and ${p_age}&lt;,"0.2",if(${p_age}&gt;= and ${p_age}&lt;,"0.25",if(${p_age}&gt;= and ${p_age}&lt;,"0.3",if(${p_age}&gt;= and ${p_age}&lt;,"0.4","--"))))</v>
      </c>
      <c r="J52" s="2" t="str">
        <f>CONCATENATE("if(${p_weight}&gt;0,",Table2[[#This Row],[Formula weight]],",",Table2[[#This Row],[Formula Age]],")")</f>
        <v>if(${p_weight}&gt;0,if(${p_weight_age}&gt;=6 and ${p_weight_age}&lt;10,"0.2",if(${p_weight_age}&gt;=10 and ${p_weight_age}&lt;12,"0.25",if(${p_weight_age}&gt;=12 and ${p_weight_age}&lt;15,"0.3",if(${p_weight_age}&gt;=15 and ${p_weight_age}&lt;100,"0.4","--")))),if(${p_age}&gt;= and ${p_age}&lt;,"0.2",if(${p_age}&gt;= and ${p_age}&lt;,"0.25",if(${p_age}&gt;= and ${p_age}&lt;,"0.3",if(${p_age}&gt;= and ${p_age}&lt;,"0.4","--")))))</v>
      </c>
      <c r="K52" s="2" t="str">
        <f>GenerateDrugString(Table2[[#This Row],[Min_weight_kg]],Table2[[#This Row],[Max_weight_kg]],Table2[[#This Row],[rate]],Table35[kg])</f>
        <v>0.2 0.2 0.2 0.2 0.2</v>
      </c>
      <c r="L52" s="2" t="str">
        <f>CONCATENATE(Table2[[#This Row],[drugStringLine]],IF(TRIM(Table2[[#This Row],[drugStringLine]])="",""," "),IF(Table2[[#This Row],[drug]]=A53,L53,""))</f>
        <v xml:space="preserve">0.2 0.2 0.2 0.2 0.2 0.25 0.25 0.3 0.3 0.4 0.4 0.4 </v>
      </c>
    </row>
    <row r="53" spans="1:12">
      <c r="A53" t="s">
        <v>50</v>
      </c>
      <c r="B53" t="str">
        <f>IF(Table2[[#This Row],[drug]]&lt;&gt;A52,Table2[[#This Row],[drug]],"")</f>
        <v/>
      </c>
      <c r="C53">
        <v>10</v>
      </c>
      <c r="D53">
        <v>12</v>
      </c>
      <c r="G53">
        <v>0.25</v>
      </c>
      <c r="H53" s="2" t="str">
        <f>CONCATENATE("if(${p_weight_age}&gt;=",Table2[[#This Row],[Min_weight_kg]]," and ${p_weight_age}&lt;",Table2[[#This Row],[Max_weight_kg]],",""",Table2[[#This Row],[rate]],""",",IF(Table2[[#This Row],[drug]]=A54,H54,"""--"""),")")</f>
        <v>if(${p_weight_age}&gt;=10 and ${p_weight_age}&lt;12,"0.25",if(${p_weight_age}&gt;=12 and ${p_weight_age}&lt;15,"0.3",if(${p_weight_age}&gt;=15 and ${p_weight_age}&lt;100,"0.4","--")))</v>
      </c>
      <c r="I53" s="2" t="str">
        <f>CONCATENATE("if(${p_age}&gt;=",Table2[[#This Row],[Min_age_months]]," and ${p_age}&lt;",Table2[[#This Row],[Max_age_months]],",""",Table2[[#This Row],[rate]],""",",IF(Table2[[#This Row],[drug]]=A54,I54,"""--"""),")")</f>
        <v>if(${p_age}&gt;= and ${p_age}&lt;,"0.25",if(${p_age}&gt;= and ${p_age}&lt;,"0.3",if(${p_age}&gt;= and ${p_age}&lt;,"0.4","--")))</v>
      </c>
      <c r="J53" s="2" t="str">
        <f>CONCATENATE("if(${p_weight}&gt;0,",Table2[[#This Row],[Formula weight]],",",Table2[[#This Row],[Formula Age]],")")</f>
        <v>if(${p_weight}&gt;0,if(${p_weight_age}&gt;=10 and ${p_weight_age}&lt;12,"0.25",if(${p_weight_age}&gt;=12 and ${p_weight_age}&lt;15,"0.3",if(${p_weight_age}&gt;=15 and ${p_weight_age}&lt;100,"0.4","--"))),if(${p_age}&gt;= and ${p_age}&lt;,"0.25",if(${p_age}&gt;= and ${p_age}&lt;,"0.3",if(${p_age}&gt;= and ${p_age}&lt;,"0.4","--"))))</v>
      </c>
      <c r="K53" s="2" t="str">
        <f>GenerateDrugString(Table2[[#This Row],[Min_weight_kg]],Table2[[#This Row],[Max_weight_kg]],Table2[[#This Row],[rate]],Table35[kg])</f>
        <v>0.25 0.25</v>
      </c>
      <c r="L53" s="2" t="str">
        <f>CONCATENATE(Table2[[#This Row],[drugStringLine]],IF(TRIM(Table2[[#This Row],[drugStringLine]])="",""," "),IF(Table2[[#This Row],[drug]]=A54,L54,""))</f>
        <v xml:space="preserve">0.25 0.25 0.3 0.3 0.4 0.4 0.4 </v>
      </c>
    </row>
    <row r="54" spans="1:12">
      <c r="A54" t="s">
        <v>50</v>
      </c>
      <c r="B54" t="str">
        <f>IF(Table2[[#This Row],[drug]]&lt;&gt;A53,Table2[[#This Row],[drug]],"")</f>
        <v/>
      </c>
      <c r="C54">
        <v>12</v>
      </c>
      <c r="D54">
        <v>15</v>
      </c>
      <c r="G54">
        <v>0.3</v>
      </c>
      <c r="H54" s="2" t="str">
        <f>CONCATENATE("if(${p_weight_age}&gt;=",Table2[[#This Row],[Min_weight_kg]]," and ${p_weight_age}&lt;",Table2[[#This Row],[Max_weight_kg]],",""",Table2[[#This Row],[rate]],""",",IF(Table2[[#This Row],[drug]]=A55,H55,"""--"""),")")</f>
        <v>if(${p_weight_age}&gt;=12 and ${p_weight_age}&lt;15,"0.3",if(${p_weight_age}&gt;=15 and ${p_weight_age}&lt;100,"0.4","--"))</v>
      </c>
      <c r="I54" s="2" t="str">
        <f>CONCATENATE("if(${p_age}&gt;=",Table2[[#This Row],[Min_age_months]]," and ${p_age}&lt;",Table2[[#This Row],[Max_age_months]],",""",Table2[[#This Row],[rate]],""",",IF(Table2[[#This Row],[drug]]=A55,I55,"""--"""),")")</f>
        <v>if(${p_age}&gt;= and ${p_age}&lt;,"0.3",if(${p_age}&gt;= and ${p_age}&lt;,"0.4","--"))</v>
      </c>
      <c r="J54" s="2" t="str">
        <f>CONCATENATE("if(${p_weight}&gt;0,",Table2[[#This Row],[Formula weight]],",",Table2[[#This Row],[Formula Age]],")")</f>
        <v>if(${p_weight}&gt;0,if(${p_weight_age}&gt;=12 and ${p_weight_age}&lt;15,"0.3",if(${p_weight_age}&gt;=15 and ${p_weight_age}&lt;100,"0.4","--")),if(${p_age}&gt;= and ${p_age}&lt;,"0.3",if(${p_age}&gt;= and ${p_age}&lt;,"0.4","--")))</v>
      </c>
      <c r="K54" s="2" t="str">
        <f>GenerateDrugString(Table2[[#This Row],[Min_weight_kg]],Table2[[#This Row],[Max_weight_kg]],Table2[[#This Row],[rate]],Table35[kg])</f>
        <v>0.3 0.3</v>
      </c>
      <c r="L54" s="2" t="str">
        <f>CONCATENATE(Table2[[#This Row],[drugStringLine]],IF(TRIM(Table2[[#This Row],[drugStringLine]])="",""," "),IF(Table2[[#This Row],[drug]]=A55,L55,""))</f>
        <v xml:space="preserve">0.3 0.3 0.4 0.4 0.4 </v>
      </c>
    </row>
    <row r="55" spans="1:12">
      <c r="A55" t="s">
        <v>50</v>
      </c>
      <c r="B55" t="str">
        <f>IF(Table2[[#This Row],[drug]]&lt;&gt;A54,Table2[[#This Row],[drug]],"")</f>
        <v/>
      </c>
      <c r="C55">
        <v>15</v>
      </c>
      <c r="D55">
        <v>100</v>
      </c>
      <c r="G55">
        <v>0.4</v>
      </c>
      <c r="H55" s="2" t="str">
        <f>CONCATENATE("if(${p_weight_age}&gt;=",Table2[[#This Row],[Min_weight_kg]]," and ${p_weight_age}&lt;",Table2[[#This Row],[Max_weight_kg]],",""",Table2[[#This Row],[rate]],""",",IF(Table2[[#This Row],[drug]]=A56,H56,"""--"""),")")</f>
        <v>if(${p_weight_age}&gt;=15 and ${p_weight_age}&lt;100,"0.4","--")</v>
      </c>
      <c r="I55" s="2" t="str">
        <f>CONCATENATE("if(${p_age}&gt;=",Table2[[#This Row],[Min_age_months]]," and ${p_age}&lt;",Table2[[#This Row],[Max_age_months]],",""",Table2[[#This Row],[rate]],""",",IF(Table2[[#This Row],[drug]]=A56,I56,"""--"""),")")</f>
        <v>if(${p_age}&gt;= and ${p_age}&lt;,"0.4","--")</v>
      </c>
      <c r="J55" s="2" t="str">
        <f>CONCATENATE("if(${p_weight}&gt;0,",Table2[[#This Row],[Formula weight]],",",Table2[[#This Row],[Formula Age]],")")</f>
        <v>if(${p_weight}&gt;0,if(${p_weight_age}&gt;=15 and ${p_weight_age}&lt;100,"0.4","--"),if(${p_age}&gt;= and ${p_age}&lt;,"0.4","--"))</v>
      </c>
      <c r="K55" s="2" t="str">
        <f>GenerateDrugString(Table2[[#This Row],[Min_weight_kg]],Table2[[#This Row],[Max_weight_kg]],Table2[[#This Row],[rate]],Table35[kg])</f>
        <v>0.4 0.4 0.4</v>
      </c>
      <c r="L55" s="2" t="str">
        <f>CONCATENATE(Table2[[#This Row],[drugStringLine]],IF(TRIM(Table2[[#This Row],[drugStringLine]])="",""," "),IF(Table2[[#This Row],[drug]]=A56,L56,""))</f>
        <v xml:space="preserve">0.4 0.4 0.4 </v>
      </c>
    </row>
    <row r="56" spans="1:12">
      <c r="A56" t="s">
        <v>52</v>
      </c>
      <c r="B56" t="str">
        <f>IF(Table2[[#This Row],[drug]]&lt;&gt;A55,Table2[[#This Row],[drug]],"")</f>
        <v>artesunate_im_ml</v>
      </c>
      <c r="C56">
        <v>0</v>
      </c>
      <c r="D56">
        <v>3</v>
      </c>
      <c r="G56">
        <v>0</v>
      </c>
      <c r="H56" s="2" t="str">
        <f>CONCATENATE("if(${p_weight_age}&gt;=",Table2[[#This Row],[Min_weight_kg]]," and ${p_weight_age}&lt;",Table2[[#This Row],[Max_weight_kg]],",""",Table2[[#This Row],[rate]],""",",IF(Table2[[#This Row],[drug]]=A57,H57,"""--"""),")")</f>
        <v>if(${p_weight_age}&gt;=0 and ${p_weight_age}&lt;3,"0",if(${p_weight_age}&gt;=3 and ${p_weight_age}&lt;6,"0.6",if(${p_weight_age}&gt;=6 and ${p_weight_age}&lt;10,"1.1",if(${p_weight_age}&gt;=10 and ${p_weight_age}&lt;12,"1.4",if(${p_weight_age}&gt;=12 and ${p_weight_age}&lt;15,"1.8",if(${p_weight_age}&gt;=15 and ${p_weight_age}&lt;100,"2.3","--"))))))</v>
      </c>
      <c r="I56" s="2" t="str">
        <f>CONCATENATE("if(${p_age}&gt;=",Table2[[#This Row],[Min_age_months]]," and ${p_age}&lt;",Table2[[#This Row],[Max_age_months]],",""",Table2[[#This Row],[rate]],""",",IF(Table2[[#This Row],[drug]]=A57,I57,"""--"""),")")</f>
        <v>if(${p_age}&gt;= and ${p_age}&lt;,"0",if(${p_age}&gt;= and ${p_age}&lt;,"0.6",if(${p_age}&gt;= and ${p_age}&lt;,"1.1",if(${p_age}&gt;= and ${p_age}&lt;,"1.4",if(${p_age}&gt;= and ${p_age}&lt;,"1.8",if(${p_age}&gt;= and ${p_age}&lt;,"2.3","--"))))))</v>
      </c>
      <c r="J56" s="2" t="str">
        <f>CONCATENATE("if(${p_weight}&gt;0,",Table2[[#This Row],[Formula weight]],",",Table2[[#This Row],[Formula Age]],")")</f>
        <v>if(${p_weight}&gt;0,if(${p_weight_age}&gt;=0 and ${p_weight_age}&lt;3,"0",if(${p_weight_age}&gt;=3 and ${p_weight_age}&lt;6,"0.6",if(${p_weight_age}&gt;=6 and ${p_weight_age}&lt;10,"1.1",if(${p_weight_age}&gt;=10 and ${p_weight_age}&lt;12,"1.4",if(${p_weight_age}&gt;=12 and ${p_weight_age}&lt;15,"1.8",if(${p_weight_age}&gt;=15 and ${p_weight_age}&lt;100,"2.3","--")))))),if(${p_age}&gt;= and ${p_age}&lt;,"0",if(${p_age}&gt;= and ${p_age}&lt;,"0.6",if(${p_age}&gt;= and ${p_age}&lt;,"1.1",if(${p_age}&gt;= and ${p_age}&lt;,"1.4",if(${p_age}&gt;= and ${p_age}&lt;,"1.8",if(${p_age}&gt;= and ${p_age}&lt;,"2.3","--")))))))</v>
      </c>
      <c r="K56" s="2" t="str">
        <f>GenerateDrugString(Table2[[#This Row],[Min_weight_kg]],Table2[[#This Row],[Max_weight_kg]],Table2[[#This Row],[rate]],Table35[kg])</f>
        <v>0</v>
      </c>
      <c r="L56" s="2" t="str">
        <f>CONCATENATE(Table2[[#This Row],[drugStringLine]],IF(TRIM(Table2[[#This Row],[drugStringLine]])="",""," "),IF(Table2[[#This Row],[drug]]=A57,L57,""))</f>
        <v xml:space="preserve">0 0.6 0.6 0.6 0.6 0.6 1.1 1.1 1.1 1.1 1.1 1.4 1.4 1.8 1.8 2.3 2.3 2.3 </v>
      </c>
    </row>
    <row r="57" spans="1:12">
      <c r="A57" t="s">
        <v>52</v>
      </c>
      <c r="B57" t="str">
        <f>IF(Table2[[#This Row],[drug]]&lt;&gt;A56,Table2[[#This Row],[drug]],"")</f>
        <v/>
      </c>
      <c r="C57">
        <v>3</v>
      </c>
      <c r="D57">
        <v>6</v>
      </c>
      <c r="G57">
        <v>0.6</v>
      </c>
      <c r="H57" s="2" t="str">
        <f>CONCATENATE("if(${p_weight_age}&gt;=",Table2[[#This Row],[Min_weight_kg]]," and ${p_weight_age}&lt;",Table2[[#This Row],[Max_weight_kg]],",""",Table2[[#This Row],[rate]],""",",IF(Table2[[#This Row],[drug]]=A58,H58,"""--"""),")")</f>
        <v>if(${p_weight_age}&gt;=3 and ${p_weight_age}&lt;6,"0.6",if(${p_weight_age}&gt;=6 and ${p_weight_age}&lt;10,"1.1",if(${p_weight_age}&gt;=10 and ${p_weight_age}&lt;12,"1.4",if(${p_weight_age}&gt;=12 and ${p_weight_age}&lt;15,"1.8",if(${p_weight_age}&gt;=15 and ${p_weight_age}&lt;100,"2.3","--")))))</v>
      </c>
      <c r="I57" s="2" t="str">
        <f>CONCATENATE("if(${p_age}&gt;=",Table2[[#This Row],[Min_age_months]]," and ${p_age}&lt;",Table2[[#This Row],[Max_age_months]],",""",Table2[[#This Row],[rate]],""",",IF(Table2[[#This Row],[drug]]=A58,I58,"""--"""),")")</f>
        <v>if(${p_age}&gt;= and ${p_age}&lt;,"0.6",if(${p_age}&gt;= and ${p_age}&lt;,"1.1",if(${p_age}&gt;= and ${p_age}&lt;,"1.4",if(${p_age}&gt;= and ${p_age}&lt;,"1.8",if(${p_age}&gt;= and ${p_age}&lt;,"2.3","--")))))</v>
      </c>
      <c r="J57" s="2" t="str">
        <f>CONCATENATE("if(${p_weight}&gt;0,",Table2[[#This Row],[Formula weight]],",",Table2[[#This Row],[Formula Age]],")")</f>
        <v>if(${p_weight}&gt;0,if(${p_weight_age}&gt;=3 and ${p_weight_age}&lt;6,"0.6",if(${p_weight_age}&gt;=6 and ${p_weight_age}&lt;10,"1.1",if(${p_weight_age}&gt;=10 and ${p_weight_age}&lt;12,"1.4",if(${p_weight_age}&gt;=12 and ${p_weight_age}&lt;15,"1.8",if(${p_weight_age}&gt;=15 and ${p_weight_age}&lt;100,"2.3","--"))))),if(${p_age}&gt;= and ${p_age}&lt;,"0.6",if(${p_age}&gt;= and ${p_age}&lt;,"1.1",if(${p_age}&gt;= and ${p_age}&lt;,"1.4",if(${p_age}&gt;= and ${p_age}&lt;,"1.8",if(${p_age}&gt;= and ${p_age}&lt;,"2.3","--"))))))</v>
      </c>
      <c r="K57" s="2" t="str">
        <f>GenerateDrugString(Table2[[#This Row],[Min_weight_kg]],Table2[[#This Row],[Max_weight_kg]],Table2[[#This Row],[rate]],Table35[kg])</f>
        <v>0.6 0.6 0.6 0.6 0.6</v>
      </c>
      <c r="L57" s="2" t="str">
        <f>CONCATENATE(Table2[[#This Row],[drugStringLine]],IF(TRIM(Table2[[#This Row],[drugStringLine]])="",""," "),IF(Table2[[#This Row],[drug]]=A58,L58,""))</f>
        <v xml:space="preserve">0.6 0.6 0.6 0.6 0.6 1.1 1.1 1.1 1.1 1.1 1.4 1.4 1.8 1.8 2.3 2.3 2.3 </v>
      </c>
    </row>
    <row r="58" spans="1:12">
      <c r="A58" t="s">
        <v>52</v>
      </c>
      <c r="B58" t="str">
        <f>IF(Table2[[#This Row],[drug]]&lt;&gt;A57,Table2[[#This Row],[drug]],"")</f>
        <v/>
      </c>
      <c r="C58">
        <v>6</v>
      </c>
      <c r="D58">
        <v>10</v>
      </c>
      <c r="G58">
        <v>1.1000000000000001</v>
      </c>
      <c r="H58" s="2" t="str">
        <f>CONCATENATE("if(${p_weight_age}&gt;=",Table2[[#This Row],[Min_weight_kg]]," and ${p_weight_age}&lt;",Table2[[#This Row],[Max_weight_kg]],",""",Table2[[#This Row],[rate]],""",",IF(Table2[[#This Row],[drug]]=A59,H59,"""--"""),")")</f>
        <v>if(${p_weight_age}&gt;=6 and ${p_weight_age}&lt;10,"1.1",if(${p_weight_age}&gt;=10 and ${p_weight_age}&lt;12,"1.4",if(${p_weight_age}&gt;=12 and ${p_weight_age}&lt;15,"1.8",if(${p_weight_age}&gt;=15 and ${p_weight_age}&lt;100,"2.3","--"))))</v>
      </c>
      <c r="I58" s="2" t="str">
        <f>CONCATENATE("if(${p_age}&gt;=",Table2[[#This Row],[Min_age_months]]," and ${p_age}&lt;",Table2[[#This Row],[Max_age_months]],",""",Table2[[#This Row],[rate]],""",",IF(Table2[[#This Row],[drug]]=A59,I59,"""--"""),")")</f>
        <v>if(${p_age}&gt;= and ${p_age}&lt;,"1.1",if(${p_age}&gt;= and ${p_age}&lt;,"1.4",if(${p_age}&gt;= and ${p_age}&lt;,"1.8",if(${p_age}&gt;= and ${p_age}&lt;,"2.3","--"))))</v>
      </c>
      <c r="J58" s="2" t="str">
        <f>CONCATENATE("if(${p_weight}&gt;0,",Table2[[#This Row],[Formula weight]],",",Table2[[#This Row],[Formula Age]],")")</f>
        <v>if(${p_weight}&gt;0,if(${p_weight_age}&gt;=6 and ${p_weight_age}&lt;10,"1.1",if(${p_weight_age}&gt;=10 and ${p_weight_age}&lt;12,"1.4",if(${p_weight_age}&gt;=12 and ${p_weight_age}&lt;15,"1.8",if(${p_weight_age}&gt;=15 and ${p_weight_age}&lt;100,"2.3","--")))),if(${p_age}&gt;= and ${p_age}&lt;,"1.1",if(${p_age}&gt;= and ${p_age}&lt;,"1.4",if(${p_age}&gt;= and ${p_age}&lt;,"1.8",if(${p_age}&gt;= and ${p_age}&lt;,"2.3","--")))))</v>
      </c>
      <c r="K58" s="2" t="str">
        <f>GenerateDrugString(Table2[[#This Row],[Min_weight_kg]],Table2[[#This Row],[Max_weight_kg]],Table2[[#This Row],[rate]],Table35[kg])</f>
        <v>1.1 1.1 1.1 1.1 1.1</v>
      </c>
      <c r="L58" s="2" t="str">
        <f>CONCATENATE(Table2[[#This Row],[drugStringLine]],IF(TRIM(Table2[[#This Row],[drugStringLine]])="",""," "),IF(Table2[[#This Row],[drug]]=A59,L59,""))</f>
        <v xml:space="preserve">1.1 1.1 1.1 1.1 1.1 1.4 1.4 1.8 1.8 2.3 2.3 2.3 </v>
      </c>
    </row>
    <row r="59" spans="1:12">
      <c r="A59" t="s">
        <v>52</v>
      </c>
      <c r="B59" t="str">
        <f>IF(Table2[[#This Row],[drug]]&lt;&gt;A58,Table2[[#This Row],[drug]],"")</f>
        <v/>
      </c>
      <c r="C59">
        <v>10</v>
      </c>
      <c r="D59">
        <v>12</v>
      </c>
      <c r="G59">
        <v>1.4</v>
      </c>
      <c r="H59" s="2" t="str">
        <f>CONCATENATE("if(${p_weight_age}&gt;=",Table2[[#This Row],[Min_weight_kg]]," and ${p_weight_age}&lt;",Table2[[#This Row],[Max_weight_kg]],",""",Table2[[#This Row],[rate]],""",",IF(Table2[[#This Row],[drug]]=A60,H60,"""--"""),")")</f>
        <v>if(${p_weight_age}&gt;=10 and ${p_weight_age}&lt;12,"1.4",if(${p_weight_age}&gt;=12 and ${p_weight_age}&lt;15,"1.8",if(${p_weight_age}&gt;=15 and ${p_weight_age}&lt;100,"2.3","--")))</v>
      </c>
      <c r="I59" s="2" t="str">
        <f>CONCATENATE("if(${p_age}&gt;=",Table2[[#This Row],[Min_age_months]]," and ${p_age}&lt;",Table2[[#This Row],[Max_age_months]],",""",Table2[[#This Row],[rate]],""",",IF(Table2[[#This Row],[drug]]=A60,I60,"""--"""),")")</f>
        <v>if(${p_age}&gt;= and ${p_age}&lt;,"1.4",if(${p_age}&gt;= and ${p_age}&lt;,"1.8",if(${p_age}&gt;= and ${p_age}&lt;,"2.3","--")))</v>
      </c>
      <c r="J59" s="2" t="str">
        <f>CONCATENATE("if(${p_weight}&gt;0,",Table2[[#This Row],[Formula weight]],",",Table2[[#This Row],[Formula Age]],")")</f>
        <v>if(${p_weight}&gt;0,if(${p_weight_age}&gt;=10 and ${p_weight_age}&lt;12,"1.4",if(${p_weight_age}&gt;=12 and ${p_weight_age}&lt;15,"1.8",if(${p_weight_age}&gt;=15 and ${p_weight_age}&lt;100,"2.3","--"))),if(${p_age}&gt;= and ${p_age}&lt;,"1.4",if(${p_age}&gt;= and ${p_age}&lt;,"1.8",if(${p_age}&gt;= and ${p_age}&lt;,"2.3","--"))))</v>
      </c>
      <c r="K59" s="2" t="str">
        <f>GenerateDrugString(Table2[[#This Row],[Min_weight_kg]],Table2[[#This Row],[Max_weight_kg]],Table2[[#This Row],[rate]],Table35[kg])</f>
        <v>1.4 1.4</v>
      </c>
      <c r="L59" s="2" t="str">
        <f>CONCATENATE(Table2[[#This Row],[drugStringLine]],IF(TRIM(Table2[[#This Row],[drugStringLine]])="",""," "),IF(Table2[[#This Row],[drug]]=A60,L60,""))</f>
        <v xml:space="preserve">1.4 1.4 1.8 1.8 2.3 2.3 2.3 </v>
      </c>
    </row>
    <row r="60" spans="1:12">
      <c r="A60" t="s">
        <v>52</v>
      </c>
      <c r="B60" t="str">
        <f>IF(Table2[[#This Row],[drug]]&lt;&gt;A59,Table2[[#This Row],[drug]],"")</f>
        <v/>
      </c>
      <c r="C60">
        <v>12</v>
      </c>
      <c r="D60">
        <v>15</v>
      </c>
      <c r="G60">
        <v>1.8</v>
      </c>
      <c r="H60" s="2" t="str">
        <f>CONCATENATE("if(${p_weight_age}&gt;=",Table2[[#This Row],[Min_weight_kg]]," and ${p_weight_age}&lt;",Table2[[#This Row],[Max_weight_kg]],",""",Table2[[#This Row],[rate]],""",",IF(Table2[[#This Row],[drug]]=A61,H61,"""--"""),")")</f>
        <v>if(${p_weight_age}&gt;=12 and ${p_weight_age}&lt;15,"1.8",if(${p_weight_age}&gt;=15 and ${p_weight_age}&lt;100,"2.3","--"))</v>
      </c>
      <c r="I60" s="2" t="str">
        <f>CONCATENATE("if(${p_age}&gt;=",Table2[[#This Row],[Min_age_months]]," and ${p_age}&lt;",Table2[[#This Row],[Max_age_months]],",""",Table2[[#This Row],[rate]],""",",IF(Table2[[#This Row],[drug]]=A61,I61,"""--"""),")")</f>
        <v>if(${p_age}&gt;= and ${p_age}&lt;,"1.8",if(${p_age}&gt;= and ${p_age}&lt;,"2.3","--"))</v>
      </c>
      <c r="J60" s="2" t="str">
        <f>CONCATENATE("if(${p_weight}&gt;0,",Table2[[#This Row],[Formula weight]],",",Table2[[#This Row],[Formula Age]],")")</f>
        <v>if(${p_weight}&gt;0,if(${p_weight_age}&gt;=12 and ${p_weight_age}&lt;15,"1.8",if(${p_weight_age}&gt;=15 and ${p_weight_age}&lt;100,"2.3","--")),if(${p_age}&gt;= and ${p_age}&lt;,"1.8",if(${p_age}&gt;= and ${p_age}&lt;,"2.3","--")))</v>
      </c>
      <c r="K60" s="2" t="str">
        <f>GenerateDrugString(Table2[[#This Row],[Min_weight_kg]],Table2[[#This Row],[Max_weight_kg]],Table2[[#This Row],[rate]],Table35[kg])</f>
        <v>1.8 1.8</v>
      </c>
      <c r="L60" s="2" t="str">
        <f>CONCATENATE(Table2[[#This Row],[drugStringLine]],IF(TRIM(Table2[[#This Row],[drugStringLine]])="",""," "),IF(Table2[[#This Row],[drug]]=A61,L61,""))</f>
        <v xml:space="preserve">1.8 1.8 2.3 2.3 2.3 </v>
      </c>
    </row>
    <row r="61" spans="1:12">
      <c r="A61" t="s">
        <v>52</v>
      </c>
      <c r="B61" t="str">
        <f>IF(Table2[[#This Row],[drug]]&lt;&gt;A60,Table2[[#This Row],[drug]],"")</f>
        <v/>
      </c>
      <c r="C61">
        <v>15</v>
      </c>
      <c r="D61">
        <v>100</v>
      </c>
      <c r="G61">
        <v>2.2999999999999998</v>
      </c>
      <c r="H61" s="2" t="str">
        <f>CONCATENATE("if(${p_weight_age}&gt;=",Table2[[#This Row],[Min_weight_kg]]," and ${p_weight_age}&lt;",Table2[[#This Row],[Max_weight_kg]],",""",Table2[[#This Row],[rate]],""",",IF(Table2[[#This Row],[drug]]=A62,H62,"""--"""),")")</f>
        <v>if(${p_weight_age}&gt;=15 and ${p_weight_age}&lt;100,"2.3","--")</v>
      </c>
      <c r="I61" s="2" t="str">
        <f>CONCATENATE("if(${p_age}&gt;=",Table2[[#This Row],[Min_age_months]]," and ${p_age}&lt;",Table2[[#This Row],[Max_age_months]],",""",Table2[[#This Row],[rate]],""",",IF(Table2[[#This Row],[drug]]=A62,I62,"""--"""),")")</f>
        <v>if(${p_age}&gt;= and ${p_age}&lt;,"2.3","--")</v>
      </c>
      <c r="J61" s="2" t="str">
        <f>CONCATENATE("if(${p_weight}&gt;0,",Table2[[#This Row],[Formula weight]],",",Table2[[#This Row],[Formula Age]],")")</f>
        <v>if(${p_weight}&gt;0,if(${p_weight_age}&gt;=15 and ${p_weight_age}&lt;100,"2.3","--"),if(${p_age}&gt;= and ${p_age}&lt;,"2.3","--"))</v>
      </c>
      <c r="K61" s="2" t="str">
        <f>GenerateDrugString(Table2[[#This Row],[Min_weight_kg]],Table2[[#This Row],[Max_weight_kg]],Table2[[#This Row],[rate]],Table35[kg])</f>
        <v>2.3 2.3 2.3</v>
      </c>
      <c r="L61" s="2" t="str">
        <f>CONCATENATE(Table2[[#This Row],[drugStringLine]],IF(TRIM(Table2[[#This Row],[drugStringLine]])="",""," "),IF(Table2[[#This Row],[drug]]=A62,L62,""))</f>
        <v xml:space="preserve">2.3 2.3 2.3 </v>
      </c>
    </row>
    <row r="62" spans="1:12">
      <c r="A62" t="s">
        <v>24</v>
      </c>
      <c r="B62" t="str">
        <f>IF(Table2[[#This Row],[drug]]&lt;&gt;A61,Table2[[#This Row],[drug]],"")</f>
        <v>diazepam_ml</v>
      </c>
      <c r="C62">
        <v>0</v>
      </c>
      <c r="D62">
        <v>3</v>
      </c>
      <c r="E62">
        <v>0</v>
      </c>
      <c r="F62">
        <v>2</v>
      </c>
      <c r="G62">
        <v>0</v>
      </c>
      <c r="H62" s="2" t="str">
        <f>CONCATENATE("if(${p_weight_age}&gt;=",Table2[[#This Row],[Min_weight_kg]]," and ${p_weight_age}&lt;",Table2[[#This Row],[Max_weight_kg]],",""",Table2[[#This Row],[rate]],""",",IF(Table2[[#This Row],[drug]]=A63,H63,"""--"""),")")</f>
        <v>if(${p_weight_age}&gt;=0 and ${p_weight_age}&lt;3,"0",if(${p_weight_age}&gt;=3 and ${p_weight_age}&lt;6,"2",if(${p_weight_age}&gt;=6 and ${p_weight_age}&lt;10,"3.75",if(${p_weight_age}&gt;=10 and ${p_weight_age}&lt;15,"6",if(${p_weight_age}&gt;=15 and ${p_weight_age}&lt;20,"8.5",if(${p_weight_age}&gt;=20 and ${p_weight_age}&lt;100,"12.5","--"))))))</v>
      </c>
      <c r="I62" s="2" t="str">
        <f>CONCATENATE("if(${p_age}&gt;=",Table2[[#This Row],[Min_age_months]]," and ${p_age}&lt;",Table2[[#This Row],[Max_age_months]],",""",Table2[[#This Row],[rate]],""",",IF(Table2[[#This Row],[drug]]=A63,I63,"""--"""),")")</f>
        <v>if(${p_age}&gt;=0 and ${p_age}&lt;2,"0",if(${p_age}&gt;=2 and ${p_age}&lt;5,"2",if(${p_age}&gt;=5 and ${p_age}&lt;12,"3.75",if(${p_age}&gt;=12 and ${p_age}&lt;36,"6",if(${p_age}&gt;=36 and ${p_age}&lt;61,"8.5",if(${p_age}&gt;=61 and ${p_age}&lt;99,"12.5","--"))))))</v>
      </c>
      <c r="J62" s="2" t="str">
        <f>CONCATENATE("if(${p_weight}&gt;0,",Table2[[#This Row],[Formula weight]],",",Table2[[#This Row],[Formula Age]],")")</f>
        <v>if(${p_weight}&gt;0,if(${p_weight_age}&gt;=0 and ${p_weight_age}&lt;3,"0",if(${p_weight_age}&gt;=3 and ${p_weight_age}&lt;6,"2",if(${p_weight_age}&gt;=6 and ${p_weight_age}&lt;10,"3.75",if(${p_weight_age}&gt;=10 and ${p_weight_age}&lt;15,"6",if(${p_weight_age}&gt;=15 and ${p_weight_age}&lt;20,"8.5",if(${p_weight_age}&gt;=20 and ${p_weight_age}&lt;100,"12.5","--")))))),if(${p_age}&gt;=0 and ${p_age}&lt;2,"0",if(${p_age}&gt;=2 and ${p_age}&lt;5,"2",if(${p_age}&gt;=5 and ${p_age}&lt;12,"3.75",if(${p_age}&gt;=12 and ${p_age}&lt;36,"6",if(${p_age}&gt;=36 and ${p_age}&lt;61,"8.5",if(${p_age}&gt;=61 and ${p_age}&lt;99,"12.5","--")))))))</v>
      </c>
      <c r="K62" s="2" t="str">
        <f>GenerateDrugString(Table2[[#This Row],[Min_weight_kg]],Table2[[#This Row],[Max_weight_kg]],Table2[[#This Row],[rate]],Table35[kg])</f>
        <v>0</v>
      </c>
      <c r="L62" s="2" t="str">
        <f>CONCATENATE(Table2[[#This Row],[drugStringLine]],IF(TRIM(Table2[[#This Row],[drugStringLine]])="",""," "),IF(Table2[[#This Row],[drug]]=A63,L63,""))</f>
        <v xml:space="preserve">0 2 2 2 2 2 3.75 3.75 3.75 3.75 3.75 6 6 6 6 8.5 12.5 12.5 </v>
      </c>
    </row>
    <row r="63" spans="1:12">
      <c r="A63" t="s">
        <v>24</v>
      </c>
      <c r="B63" t="str">
        <f>IF(Table2[[#This Row],[drug]]&lt;&gt;A62,Table2[[#This Row],[drug]],"")</f>
        <v/>
      </c>
      <c r="C63">
        <v>3</v>
      </c>
      <c r="D63">
        <v>6</v>
      </c>
      <c r="E63">
        <v>2</v>
      </c>
      <c r="F63">
        <v>5</v>
      </c>
      <c r="G63">
        <v>2</v>
      </c>
      <c r="H63" s="2" t="str">
        <f>CONCATENATE("if(${p_weight_age}&gt;=",Table2[[#This Row],[Min_weight_kg]]," and ${p_weight_age}&lt;",Table2[[#This Row],[Max_weight_kg]],",""",Table2[[#This Row],[rate]],""",",IF(Table2[[#This Row],[drug]]=A64,H64,"""--"""),")")</f>
        <v>if(${p_weight_age}&gt;=3 and ${p_weight_age}&lt;6,"2",if(${p_weight_age}&gt;=6 and ${p_weight_age}&lt;10,"3.75",if(${p_weight_age}&gt;=10 and ${p_weight_age}&lt;15,"6",if(${p_weight_age}&gt;=15 and ${p_weight_age}&lt;20,"8.5",if(${p_weight_age}&gt;=20 and ${p_weight_age}&lt;100,"12.5","--")))))</v>
      </c>
      <c r="I63" s="2" t="str">
        <f>CONCATENATE("if(${p_age}&gt;=",Table2[[#This Row],[Min_age_months]]," and ${p_age}&lt;",Table2[[#This Row],[Max_age_months]],",""",Table2[[#This Row],[rate]],""",",IF(Table2[[#This Row],[drug]]=A64,I64,"""--"""),")")</f>
        <v>if(${p_age}&gt;=2 and ${p_age}&lt;5,"2",if(${p_age}&gt;=5 and ${p_age}&lt;12,"3.75",if(${p_age}&gt;=12 and ${p_age}&lt;36,"6",if(${p_age}&gt;=36 and ${p_age}&lt;61,"8.5",if(${p_age}&gt;=61 and ${p_age}&lt;99,"12.5","--")))))</v>
      </c>
      <c r="J63" s="2" t="str">
        <f>CONCATENATE("if(${p_weight}&gt;0,",Table2[[#This Row],[Formula weight]],",",Table2[[#This Row],[Formula Age]],")")</f>
        <v>if(${p_weight}&gt;0,if(${p_weight_age}&gt;=3 and ${p_weight_age}&lt;6,"2",if(${p_weight_age}&gt;=6 and ${p_weight_age}&lt;10,"3.75",if(${p_weight_age}&gt;=10 and ${p_weight_age}&lt;15,"6",if(${p_weight_age}&gt;=15 and ${p_weight_age}&lt;20,"8.5",if(${p_weight_age}&gt;=20 and ${p_weight_age}&lt;100,"12.5","--"))))),if(${p_age}&gt;=2 and ${p_age}&lt;5,"2",if(${p_age}&gt;=5 and ${p_age}&lt;12,"3.75",if(${p_age}&gt;=12 and ${p_age}&lt;36,"6",if(${p_age}&gt;=36 and ${p_age}&lt;61,"8.5",if(${p_age}&gt;=61 and ${p_age}&lt;99,"12.5","--"))))))</v>
      </c>
      <c r="K63" s="2" t="str">
        <f>GenerateDrugString(Table2[[#This Row],[Min_weight_kg]],Table2[[#This Row],[Max_weight_kg]],Table2[[#This Row],[rate]],Table35[kg])</f>
        <v>2 2 2 2 2</v>
      </c>
      <c r="L63" s="2" t="str">
        <f>CONCATENATE(Table2[[#This Row],[drugStringLine]],IF(TRIM(Table2[[#This Row],[drugStringLine]])="",""," "),IF(Table2[[#This Row],[drug]]=A64,L64,""))</f>
        <v xml:space="preserve">2 2 2 2 2 3.75 3.75 3.75 3.75 3.75 6 6 6 6 8.5 12.5 12.5 </v>
      </c>
    </row>
    <row r="64" spans="1:12">
      <c r="A64" t="s">
        <v>24</v>
      </c>
      <c r="B64" t="str">
        <f>IF(Table2[[#This Row],[drug]]&lt;&gt;A63,Table2[[#This Row],[drug]],"")</f>
        <v/>
      </c>
      <c r="C64">
        <v>6</v>
      </c>
      <c r="D64">
        <v>10</v>
      </c>
      <c r="E64">
        <v>5</v>
      </c>
      <c r="F64">
        <v>12</v>
      </c>
      <c r="G64">
        <v>3.75</v>
      </c>
      <c r="H64" s="2" t="str">
        <f>CONCATENATE("if(${p_weight_age}&gt;=",Table2[[#This Row],[Min_weight_kg]]," and ${p_weight_age}&lt;",Table2[[#This Row],[Max_weight_kg]],",""",Table2[[#This Row],[rate]],""",",IF(Table2[[#This Row],[drug]]=A65,H65,"""--"""),")")</f>
        <v>if(${p_weight_age}&gt;=6 and ${p_weight_age}&lt;10,"3.75",if(${p_weight_age}&gt;=10 and ${p_weight_age}&lt;15,"6",if(${p_weight_age}&gt;=15 and ${p_weight_age}&lt;20,"8.5",if(${p_weight_age}&gt;=20 and ${p_weight_age}&lt;100,"12.5","--"))))</v>
      </c>
      <c r="I64" s="2" t="str">
        <f>CONCATENATE("if(${p_age}&gt;=",Table2[[#This Row],[Min_age_months]]," and ${p_age}&lt;",Table2[[#This Row],[Max_age_months]],",""",Table2[[#This Row],[rate]],""",",IF(Table2[[#This Row],[drug]]=A65,I65,"""--"""),")")</f>
        <v>if(${p_age}&gt;=5 and ${p_age}&lt;12,"3.75",if(${p_age}&gt;=12 and ${p_age}&lt;36,"6",if(${p_age}&gt;=36 and ${p_age}&lt;61,"8.5",if(${p_age}&gt;=61 and ${p_age}&lt;99,"12.5","--"))))</v>
      </c>
      <c r="J64" s="2" t="str">
        <f>CONCATENATE("if(${p_weight}&gt;0,",Table2[[#This Row],[Formula weight]],",",Table2[[#This Row],[Formula Age]],")")</f>
        <v>if(${p_weight}&gt;0,if(${p_weight_age}&gt;=6 and ${p_weight_age}&lt;10,"3.75",if(${p_weight_age}&gt;=10 and ${p_weight_age}&lt;15,"6",if(${p_weight_age}&gt;=15 and ${p_weight_age}&lt;20,"8.5",if(${p_weight_age}&gt;=20 and ${p_weight_age}&lt;100,"12.5","--")))),if(${p_age}&gt;=5 and ${p_age}&lt;12,"3.75",if(${p_age}&gt;=12 and ${p_age}&lt;36,"6",if(${p_age}&gt;=36 and ${p_age}&lt;61,"8.5",if(${p_age}&gt;=61 and ${p_age}&lt;99,"12.5","--")))))</v>
      </c>
      <c r="K64" s="2" t="str">
        <f>GenerateDrugString(Table2[[#This Row],[Min_weight_kg]],Table2[[#This Row],[Max_weight_kg]],Table2[[#This Row],[rate]],Table35[kg])</f>
        <v>3.75 3.75 3.75 3.75 3.75</v>
      </c>
      <c r="L64" s="2" t="str">
        <f>CONCATENATE(Table2[[#This Row],[drugStringLine]],IF(TRIM(Table2[[#This Row],[drugStringLine]])="",""," "),IF(Table2[[#This Row],[drug]]=A65,L65,""))</f>
        <v xml:space="preserve">3.75 3.75 3.75 3.75 3.75 6 6 6 6 8.5 12.5 12.5 </v>
      </c>
    </row>
    <row r="65" spans="1:12">
      <c r="A65" t="s">
        <v>24</v>
      </c>
      <c r="B65" t="str">
        <f>IF(Table2[[#This Row],[drug]]&lt;&gt;A64,Table2[[#This Row],[drug]],"")</f>
        <v/>
      </c>
      <c r="C65">
        <v>10</v>
      </c>
      <c r="D65">
        <v>15</v>
      </c>
      <c r="E65">
        <v>12</v>
      </c>
      <c r="F65">
        <v>36</v>
      </c>
      <c r="G65">
        <v>6</v>
      </c>
      <c r="H65" s="2" t="str">
        <f>CONCATENATE("if(${p_weight_age}&gt;=",Table2[[#This Row],[Min_weight_kg]]," and ${p_weight_age}&lt;",Table2[[#This Row],[Max_weight_kg]],",""",Table2[[#This Row],[rate]],""",",IF(Table2[[#This Row],[drug]]=A66,H66,"""--"""),")")</f>
        <v>if(${p_weight_age}&gt;=10 and ${p_weight_age}&lt;15,"6",if(${p_weight_age}&gt;=15 and ${p_weight_age}&lt;20,"8.5",if(${p_weight_age}&gt;=20 and ${p_weight_age}&lt;100,"12.5","--")))</v>
      </c>
      <c r="I65" s="2" t="str">
        <f>CONCATENATE("if(${p_age}&gt;=",Table2[[#This Row],[Min_age_months]]," and ${p_age}&lt;",Table2[[#This Row],[Max_age_months]],",""",Table2[[#This Row],[rate]],""",",IF(Table2[[#This Row],[drug]]=A66,I66,"""--"""),")")</f>
        <v>if(${p_age}&gt;=12 and ${p_age}&lt;36,"6",if(${p_age}&gt;=36 and ${p_age}&lt;61,"8.5",if(${p_age}&gt;=61 and ${p_age}&lt;99,"12.5","--")))</v>
      </c>
      <c r="J65" s="2" t="str">
        <f>CONCATENATE("if(${p_weight}&gt;0,",Table2[[#This Row],[Formula weight]],",",Table2[[#This Row],[Formula Age]],")")</f>
        <v>if(${p_weight}&gt;0,if(${p_weight_age}&gt;=10 and ${p_weight_age}&lt;15,"6",if(${p_weight_age}&gt;=15 and ${p_weight_age}&lt;20,"8.5",if(${p_weight_age}&gt;=20 and ${p_weight_age}&lt;100,"12.5","--"))),if(${p_age}&gt;=12 and ${p_age}&lt;36,"6",if(${p_age}&gt;=36 and ${p_age}&lt;61,"8.5",if(${p_age}&gt;=61 and ${p_age}&lt;99,"12.5","--"))))</v>
      </c>
      <c r="K65" s="2" t="str">
        <f>GenerateDrugString(Table2[[#This Row],[Min_weight_kg]],Table2[[#This Row],[Max_weight_kg]],Table2[[#This Row],[rate]],Table35[kg])</f>
        <v>6 6 6 6</v>
      </c>
      <c r="L65" s="2" t="str">
        <f>CONCATENATE(Table2[[#This Row],[drugStringLine]],IF(TRIM(Table2[[#This Row],[drugStringLine]])="",""," "),IF(Table2[[#This Row],[drug]]=A66,L66,""))</f>
        <v xml:space="preserve">6 6 6 6 8.5 12.5 12.5 </v>
      </c>
    </row>
    <row r="66" spans="1:12">
      <c r="A66" t="s">
        <v>24</v>
      </c>
      <c r="B66" t="str">
        <f>IF(Table2[[#This Row],[drug]]&lt;&gt;A65,Table2[[#This Row],[drug]],"")</f>
        <v/>
      </c>
      <c r="C66">
        <v>15</v>
      </c>
      <c r="D66">
        <v>20</v>
      </c>
      <c r="E66">
        <v>36</v>
      </c>
      <c r="F66">
        <v>61</v>
      </c>
      <c r="G66">
        <v>8.5</v>
      </c>
      <c r="H66" s="2" t="str">
        <f>CONCATENATE("if(${p_weight_age}&gt;=",Table2[[#This Row],[Min_weight_kg]]," and ${p_weight_age}&lt;",Table2[[#This Row],[Max_weight_kg]],",""",Table2[[#This Row],[rate]],""",",IF(Table2[[#This Row],[drug]]=A67,H67,"""--"""),")")</f>
        <v>if(${p_weight_age}&gt;=15 and ${p_weight_age}&lt;20,"8.5",if(${p_weight_age}&gt;=20 and ${p_weight_age}&lt;100,"12.5","--"))</v>
      </c>
      <c r="I66" s="2" t="str">
        <f>CONCATENATE("if(${p_age}&gt;=",Table2[[#This Row],[Min_age_months]]," and ${p_age}&lt;",Table2[[#This Row],[Max_age_months]],",""",Table2[[#This Row],[rate]],""",",IF(Table2[[#This Row],[drug]]=A67,I67,"""--"""),")")</f>
        <v>if(${p_age}&gt;=36 and ${p_age}&lt;61,"8.5",if(${p_age}&gt;=61 and ${p_age}&lt;99,"12.5","--"))</v>
      </c>
      <c r="J66" s="2" t="str">
        <f>CONCATENATE("if(${p_weight}&gt;0,",Table2[[#This Row],[Formula weight]],",",Table2[[#This Row],[Formula Age]],")")</f>
        <v>if(${p_weight}&gt;0,if(${p_weight_age}&gt;=15 and ${p_weight_age}&lt;20,"8.5",if(${p_weight_age}&gt;=20 and ${p_weight_age}&lt;100,"12.5","--")),if(${p_age}&gt;=36 and ${p_age}&lt;61,"8.5",if(${p_age}&gt;=61 and ${p_age}&lt;99,"12.5","--")))</v>
      </c>
      <c r="K66" s="2" t="str">
        <f>GenerateDrugString(Table2[[#This Row],[Min_weight_kg]],Table2[[#This Row],[Max_weight_kg]],Table2[[#This Row],[rate]],Table35[kg])</f>
        <v>8.5</v>
      </c>
      <c r="L66" s="2" t="str">
        <f>CONCATENATE(Table2[[#This Row],[drugStringLine]],IF(TRIM(Table2[[#This Row],[drugStringLine]])="",""," "),IF(Table2[[#This Row],[drug]]=A67,L67,""))</f>
        <v xml:space="preserve">8.5 12.5 12.5 </v>
      </c>
    </row>
    <row r="67" spans="1:12">
      <c r="A67" t="s">
        <v>24</v>
      </c>
      <c r="B67" t="str">
        <f>IF(Table2[[#This Row],[drug]]&lt;&gt;A66,Table2[[#This Row],[drug]],"")</f>
        <v/>
      </c>
      <c r="C67">
        <v>20</v>
      </c>
      <c r="D67">
        <v>100</v>
      </c>
      <c r="E67">
        <v>61</v>
      </c>
      <c r="F67">
        <v>99</v>
      </c>
      <c r="G67">
        <v>12.5</v>
      </c>
      <c r="H67" s="2" t="str">
        <f>CONCATENATE("if(${p_weight_age}&gt;=",Table2[[#This Row],[Min_weight_kg]]," and ${p_weight_age}&lt;",Table2[[#This Row],[Max_weight_kg]],",""",Table2[[#This Row],[rate]],""",",IF(Table2[[#This Row],[drug]]=A68,H68,"""--"""),")")</f>
        <v>if(${p_weight_age}&gt;=20 and ${p_weight_age}&lt;100,"12.5","--")</v>
      </c>
      <c r="I67" s="2" t="str">
        <f>CONCATENATE("if(${p_age}&gt;=",Table2[[#This Row],[Min_age_months]]," and ${p_age}&lt;",Table2[[#This Row],[Max_age_months]],",""",Table2[[#This Row],[rate]],""",",IF(Table2[[#This Row],[drug]]=A68,I68,"""--"""),")")</f>
        <v>if(${p_age}&gt;=61 and ${p_age}&lt;99,"12.5","--")</v>
      </c>
      <c r="J67" s="2" t="str">
        <f>CONCATENATE("if(${p_weight}&gt;0,",Table2[[#This Row],[Formula weight]],",",Table2[[#This Row],[Formula Age]],")")</f>
        <v>if(${p_weight}&gt;0,if(${p_weight_age}&gt;=20 and ${p_weight_age}&lt;100,"12.5","--"),if(${p_age}&gt;=61 and ${p_age}&lt;99,"12.5","--"))</v>
      </c>
      <c r="K67" s="2" t="str">
        <f>GenerateDrugString(Table2[[#This Row],[Min_weight_kg]],Table2[[#This Row],[Max_weight_kg]],Table2[[#This Row],[rate]],Table35[kg])</f>
        <v>12.5 12.5</v>
      </c>
      <c r="L67" s="2" t="str">
        <f>CONCATENATE(Table2[[#This Row],[drugStringLine]],IF(TRIM(Table2[[#This Row],[drugStringLine]])="",""," "),IF(Table2[[#This Row],[drug]]=A68,L68,""))</f>
        <v xml:space="preserve">12.5 12.5 </v>
      </c>
    </row>
    <row r="68" spans="1:12">
      <c r="A68" t="s">
        <v>27</v>
      </c>
      <c r="B68" t="str">
        <f>IF(Table2[[#This Row],[drug]]&lt;&gt;A67,Table2[[#This Row],[drug]],"")</f>
        <v>phenobarbital_15_ml</v>
      </c>
      <c r="C68">
        <v>0</v>
      </c>
      <c r="D68">
        <v>6</v>
      </c>
      <c r="E68">
        <v>0</v>
      </c>
      <c r="F68">
        <v>5</v>
      </c>
      <c r="G68">
        <v>0.4</v>
      </c>
      <c r="H68" s="2" t="str">
        <f>CONCATENATE("if(${p_weight_age}&gt;=",Table2[[#This Row],[Min_weight_kg]]," and ${p_weight_age}&lt;",Table2[[#This Row],[Max_weight_kg]],",""",Table2[[#This Row],[rate]],""",",IF(Table2[[#This Row],[drug]]=A69,H69,"""--"""),")")</f>
        <v>if(${p_weight_age}&gt;=0 and ${p_weight_age}&lt;6,"0.4",if(${p_weight_age}&gt;=6 and ${p_weight_age}&lt;10,"0.6",if(${p_weight_age}&gt;=10 and ${p_weight_age}&lt;15,"1",if(${p_weight_age}&gt;=15 and ${p_weight_age}&lt;20,"1.5",if(${p_weight_age}&gt;=20 and ${p_weight_age}&lt;100,"2","--")))))</v>
      </c>
      <c r="I68" s="2" t="str">
        <f>CONCATENATE("if(${p_age}&gt;=",Table2[[#This Row],[Min_age_months]]," and ${p_age}&lt;",Table2[[#This Row],[Max_age_months]],",""",Table2[[#This Row],[rate]],""",",IF(Table2[[#This Row],[drug]]=A69,I69,"""--"""),")")</f>
        <v>if(${p_age}&gt;=0 and ${p_age}&lt;5,"0.4",if(${p_age}&gt;=5 and ${p_age}&lt;12,"0.6",if(${p_age}&gt;=12 and ${p_age}&lt;36,"1",if(${p_age}&gt;=36 and ${p_age}&lt;60,"1.5",if(${p_age}&gt;=60 and ${p_age}&lt;99,"2","--")))))</v>
      </c>
      <c r="J68" s="2" t="str">
        <f>CONCATENATE("if(${p_weight}&gt;0,",Table2[[#This Row],[Formula weight]],",",Table2[[#This Row],[Formula Age]],")")</f>
        <v>if(${p_weight}&gt;0,if(${p_weight_age}&gt;=0 and ${p_weight_age}&lt;6,"0.4",if(${p_weight_age}&gt;=6 and ${p_weight_age}&lt;10,"0.6",if(${p_weight_age}&gt;=10 and ${p_weight_age}&lt;15,"1",if(${p_weight_age}&gt;=15 and ${p_weight_age}&lt;20,"1.5",if(${p_weight_age}&gt;=20 and ${p_weight_age}&lt;100,"2","--"))))),if(${p_age}&gt;=0 and ${p_age}&lt;5,"0.4",if(${p_age}&gt;=5 and ${p_age}&lt;12,"0.6",if(${p_age}&gt;=12 and ${p_age}&lt;36,"1",if(${p_age}&gt;=36 and ${p_age}&lt;60,"1.5",if(${p_age}&gt;=60 and ${p_age}&lt;99,"2","--"))))))</v>
      </c>
      <c r="K68" s="2" t="str">
        <f>GenerateDrugString(Table2[[#This Row],[Min_weight_kg]],Table2[[#This Row],[Max_weight_kg]],Table2[[#This Row],[rate]],Table35[kg])</f>
        <v>0.4 0.4 0.4 0.4 0.4 0.4</v>
      </c>
      <c r="L68" s="2" t="str">
        <f>CONCATENATE(Table2[[#This Row],[drugStringLine]],IF(TRIM(Table2[[#This Row],[drugStringLine]])="",""," "),IF(Table2[[#This Row],[drug]]=A69,L69,""))</f>
        <v xml:space="preserve">0.4 0.4 0.4 0.4 0.4 0.4 0.6 0.6 0.6 0.6 0.6 1 1 1 1 1.5 2 2 </v>
      </c>
    </row>
    <row r="69" spans="1:12">
      <c r="A69" t="s">
        <v>27</v>
      </c>
      <c r="B69" t="str">
        <f>IF(Table2[[#This Row],[drug]]&lt;&gt;A68,Table2[[#This Row],[drug]],"")</f>
        <v/>
      </c>
      <c r="C69">
        <v>6</v>
      </c>
      <c r="D69">
        <v>10</v>
      </c>
      <c r="E69">
        <v>5</v>
      </c>
      <c r="F69">
        <v>12</v>
      </c>
      <c r="G69">
        <v>0.6</v>
      </c>
      <c r="H69" s="2" t="str">
        <f>CONCATENATE("if(${p_weight_age}&gt;=",Table2[[#This Row],[Min_weight_kg]]," and ${p_weight_age}&lt;",Table2[[#This Row],[Max_weight_kg]],",""",Table2[[#This Row],[rate]],""",",IF(Table2[[#This Row],[drug]]=A70,H70,"""--"""),")")</f>
        <v>if(${p_weight_age}&gt;=6 and ${p_weight_age}&lt;10,"0.6",if(${p_weight_age}&gt;=10 and ${p_weight_age}&lt;15,"1",if(${p_weight_age}&gt;=15 and ${p_weight_age}&lt;20,"1.5",if(${p_weight_age}&gt;=20 and ${p_weight_age}&lt;100,"2","--"))))</v>
      </c>
      <c r="I69" s="2" t="str">
        <f>CONCATENATE("if(${p_age}&gt;=",Table2[[#This Row],[Min_age_months]]," and ${p_age}&lt;",Table2[[#This Row],[Max_age_months]],",""",Table2[[#This Row],[rate]],""",",IF(Table2[[#This Row],[drug]]=A70,I70,"""--"""),")")</f>
        <v>if(${p_age}&gt;=5 and ${p_age}&lt;12,"0.6",if(${p_age}&gt;=12 and ${p_age}&lt;36,"1",if(${p_age}&gt;=36 and ${p_age}&lt;60,"1.5",if(${p_age}&gt;=60 and ${p_age}&lt;99,"2","--"))))</v>
      </c>
      <c r="J69" s="2" t="str">
        <f>CONCATENATE("if(${p_weight}&gt;0,",Table2[[#This Row],[Formula weight]],",",Table2[[#This Row],[Formula Age]],")")</f>
        <v>if(${p_weight}&gt;0,if(${p_weight_age}&gt;=6 and ${p_weight_age}&lt;10,"0.6",if(${p_weight_age}&gt;=10 and ${p_weight_age}&lt;15,"1",if(${p_weight_age}&gt;=15 and ${p_weight_age}&lt;20,"1.5",if(${p_weight_age}&gt;=20 and ${p_weight_age}&lt;100,"2","--")))),if(${p_age}&gt;=5 and ${p_age}&lt;12,"0.6",if(${p_age}&gt;=12 and ${p_age}&lt;36,"1",if(${p_age}&gt;=36 and ${p_age}&lt;60,"1.5",if(${p_age}&gt;=60 and ${p_age}&lt;99,"2","--")))))</v>
      </c>
      <c r="K69" s="2" t="str">
        <f>GenerateDrugString(Table2[[#This Row],[Min_weight_kg]],Table2[[#This Row],[Max_weight_kg]],Table2[[#This Row],[rate]],Table35[kg])</f>
        <v>0.6 0.6 0.6 0.6 0.6</v>
      </c>
      <c r="L69" s="2" t="str">
        <f>CONCATENATE(Table2[[#This Row],[drugStringLine]],IF(TRIM(Table2[[#This Row],[drugStringLine]])="",""," "),IF(Table2[[#This Row],[drug]]=A70,L70,""))</f>
        <v xml:space="preserve">0.6 0.6 0.6 0.6 0.6 1 1 1 1 1.5 2 2 </v>
      </c>
    </row>
    <row r="70" spans="1:12">
      <c r="A70" t="s">
        <v>27</v>
      </c>
      <c r="B70" t="str">
        <f>IF(Table2[[#This Row],[drug]]&lt;&gt;A69,Table2[[#This Row],[drug]],"")</f>
        <v/>
      </c>
      <c r="C70">
        <v>10</v>
      </c>
      <c r="D70">
        <v>15</v>
      </c>
      <c r="E70">
        <v>12</v>
      </c>
      <c r="F70">
        <v>36</v>
      </c>
      <c r="G70">
        <v>1</v>
      </c>
      <c r="H70" s="2" t="str">
        <f>CONCATENATE("if(${p_weight_age}&gt;=",Table2[[#This Row],[Min_weight_kg]]," and ${p_weight_age}&lt;",Table2[[#This Row],[Max_weight_kg]],",""",Table2[[#This Row],[rate]],""",",IF(Table2[[#This Row],[drug]]=A71,H71,"""--"""),")")</f>
        <v>if(${p_weight_age}&gt;=10 and ${p_weight_age}&lt;15,"1",if(${p_weight_age}&gt;=15 and ${p_weight_age}&lt;20,"1.5",if(${p_weight_age}&gt;=20 and ${p_weight_age}&lt;100,"2","--")))</v>
      </c>
      <c r="I70" s="2" t="str">
        <f>CONCATENATE("if(${p_age}&gt;=",Table2[[#This Row],[Min_age_months]]," and ${p_age}&lt;",Table2[[#This Row],[Max_age_months]],",""",Table2[[#This Row],[rate]],""",",IF(Table2[[#This Row],[drug]]=A71,I71,"""--"""),")")</f>
        <v>if(${p_age}&gt;=12 and ${p_age}&lt;36,"1",if(${p_age}&gt;=36 and ${p_age}&lt;60,"1.5",if(${p_age}&gt;=60 and ${p_age}&lt;99,"2","--")))</v>
      </c>
      <c r="J70" s="2" t="str">
        <f>CONCATENATE("if(${p_weight}&gt;0,",Table2[[#This Row],[Formula weight]],",",Table2[[#This Row],[Formula Age]],")")</f>
        <v>if(${p_weight}&gt;0,if(${p_weight_age}&gt;=10 and ${p_weight_age}&lt;15,"1",if(${p_weight_age}&gt;=15 and ${p_weight_age}&lt;20,"1.5",if(${p_weight_age}&gt;=20 and ${p_weight_age}&lt;100,"2","--"))),if(${p_age}&gt;=12 and ${p_age}&lt;36,"1",if(${p_age}&gt;=36 and ${p_age}&lt;60,"1.5",if(${p_age}&gt;=60 and ${p_age}&lt;99,"2","--"))))</v>
      </c>
      <c r="K70" s="2" t="str">
        <f>GenerateDrugString(Table2[[#This Row],[Min_weight_kg]],Table2[[#This Row],[Max_weight_kg]],Table2[[#This Row],[rate]],Table35[kg])</f>
        <v>1 1 1 1</v>
      </c>
      <c r="L70" s="2" t="str">
        <f>CONCATENATE(Table2[[#This Row],[drugStringLine]],IF(TRIM(Table2[[#This Row],[drugStringLine]])="",""," "),IF(Table2[[#This Row],[drug]]=A71,L71,""))</f>
        <v xml:space="preserve">1 1 1 1 1.5 2 2 </v>
      </c>
    </row>
    <row r="71" spans="1:12">
      <c r="A71" t="s">
        <v>27</v>
      </c>
      <c r="B71" t="str">
        <f>IF(Table2[[#This Row],[drug]]&lt;&gt;A70,Table2[[#This Row],[drug]],"")</f>
        <v/>
      </c>
      <c r="C71">
        <v>15</v>
      </c>
      <c r="D71">
        <v>20</v>
      </c>
      <c r="E71">
        <v>36</v>
      </c>
      <c r="F71">
        <v>60</v>
      </c>
      <c r="G71">
        <v>1.5</v>
      </c>
      <c r="H71" s="2" t="str">
        <f>CONCATENATE("if(${p_weight_age}&gt;=",Table2[[#This Row],[Min_weight_kg]]," and ${p_weight_age}&lt;",Table2[[#This Row],[Max_weight_kg]],",""",Table2[[#This Row],[rate]],""",",IF(Table2[[#This Row],[drug]]=A72,H72,"""--"""),")")</f>
        <v>if(${p_weight_age}&gt;=15 and ${p_weight_age}&lt;20,"1.5",if(${p_weight_age}&gt;=20 and ${p_weight_age}&lt;100,"2","--"))</v>
      </c>
      <c r="I71" s="2" t="str">
        <f>CONCATENATE("if(${p_age}&gt;=",Table2[[#This Row],[Min_age_months]]," and ${p_age}&lt;",Table2[[#This Row],[Max_age_months]],",""",Table2[[#This Row],[rate]],""",",IF(Table2[[#This Row],[drug]]=A72,I72,"""--"""),")")</f>
        <v>if(${p_age}&gt;=36 and ${p_age}&lt;60,"1.5",if(${p_age}&gt;=60 and ${p_age}&lt;99,"2","--"))</v>
      </c>
      <c r="J71" s="2" t="str">
        <f>CONCATENATE("if(${p_weight}&gt;0,",Table2[[#This Row],[Formula weight]],",",Table2[[#This Row],[Formula Age]],")")</f>
        <v>if(${p_weight}&gt;0,if(${p_weight_age}&gt;=15 and ${p_weight_age}&lt;20,"1.5",if(${p_weight_age}&gt;=20 and ${p_weight_age}&lt;100,"2","--")),if(${p_age}&gt;=36 and ${p_age}&lt;60,"1.5",if(${p_age}&gt;=60 and ${p_age}&lt;99,"2","--")))</v>
      </c>
      <c r="K71" s="2" t="str">
        <f>GenerateDrugString(Table2[[#This Row],[Min_weight_kg]],Table2[[#This Row],[Max_weight_kg]],Table2[[#This Row],[rate]],Table35[kg])</f>
        <v>1.5</v>
      </c>
      <c r="L71" s="2" t="str">
        <f>CONCATENATE(Table2[[#This Row],[drugStringLine]],IF(TRIM(Table2[[#This Row],[drugStringLine]])="",""," "),IF(Table2[[#This Row],[drug]]=A72,L72,""))</f>
        <v xml:space="preserve">1.5 2 2 </v>
      </c>
    </row>
    <row r="72" spans="1:12">
      <c r="A72" t="s">
        <v>27</v>
      </c>
      <c r="B72" t="str">
        <f>IF(Table2[[#This Row],[drug]]&lt;&gt;A71,Table2[[#This Row],[drug]],"")</f>
        <v/>
      </c>
      <c r="C72">
        <v>20</v>
      </c>
      <c r="D72">
        <v>100</v>
      </c>
      <c r="E72">
        <v>60</v>
      </c>
      <c r="F72">
        <v>99</v>
      </c>
      <c r="G72">
        <v>2</v>
      </c>
      <c r="H72" s="2" t="str">
        <f>CONCATENATE("if(${p_weight_age}&gt;=",Table2[[#This Row],[Min_weight_kg]]," and ${p_weight_age}&lt;",Table2[[#This Row],[Max_weight_kg]],",""",Table2[[#This Row],[rate]],""",",IF(Table2[[#This Row],[drug]]=A73,H73,"""--"""),")")</f>
        <v>if(${p_weight_age}&gt;=20 and ${p_weight_age}&lt;100,"2","--")</v>
      </c>
      <c r="I72" s="2" t="str">
        <f>CONCATENATE("if(${p_age}&gt;=",Table2[[#This Row],[Min_age_months]]," and ${p_age}&lt;",Table2[[#This Row],[Max_age_months]],",""",Table2[[#This Row],[rate]],""",",IF(Table2[[#This Row],[drug]]=A73,I73,"""--"""),")")</f>
        <v>if(${p_age}&gt;=60 and ${p_age}&lt;99,"2","--")</v>
      </c>
      <c r="J72" s="2" t="str">
        <f>CONCATENATE("if(${p_weight}&gt;0,",Table2[[#This Row],[Formula weight]],",",Table2[[#This Row],[Formula Age]],")")</f>
        <v>if(${p_weight}&gt;0,if(${p_weight_age}&gt;=20 and ${p_weight_age}&lt;100,"2","--"),if(${p_age}&gt;=60 and ${p_age}&lt;99,"2","--"))</v>
      </c>
      <c r="K72" s="2" t="str">
        <f>GenerateDrugString(Table2[[#This Row],[Min_weight_kg]],Table2[[#This Row],[Max_weight_kg]],Table2[[#This Row],[rate]],Table35[kg])</f>
        <v>2 2</v>
      </c>
      <c r="L72" s="2" t="str">
        <f>CONCATENATE(Table2[[#This Row],[drugStringLine]],IF(TRIM(Table2[[#This Row],[drugStringLine]])="",""," "),IF(Table2[[#This Row],[drug]]=A73,L73,""))</f>
        <v xml:space="preserve">2 2 </v>
      </c>
    </row>
    <row r="73" spans="1:12">
      <c r="A73" t="s">
        <v>28</v>
      </c>
      <c r="B73" t="str">
        <f>IF(Table2[[#This Row],[drug]]&lt;&gt;A72,Table2[[#This Row],[drug]],"")</f>
        <v>phenobarbital_5_ml</v>
      </c>
      <c r="C73">
        <v>0</v>
      </c>
      <c r="D73">
        <v>6</v>
      </c>
      <c r="E73">
        <v>0</v>
      </c>
      <c r="F73">
        <v>5</v>
      </c>
      <c r="G73">
        <v>0.1</v>
      </c>
      <c r="H73" s="2" t="str">
        <f>CONCATENATE("if(${p_weight_age}&gt;=",Table2[[#This Row],[Min_weight_kg]]," and ${p_weight_age}&lt;",Table2[[#This Row],[Max_weight_kg]],",""",Table2[[#This Row],[rate]],""",",IF(Table2[[#This Row],[drug]]=A74,H74,"""--"""),")")</f>
        <v>if(${p_weight_age}&gt;=0 and ${p_weight_age}&lt;6,"0.1",if(${p_weight_age}&gt;=6 and ${p_weight_age}&lt;10,"0.2",if(${p_weight_age}&gt;=10 and ${p_weight_age}&lt;15,"0.4",if(${p_weight_age}&gt;=15 and ${p_weight_age}&lt;20,"0.5",if(${p_weight_age}&gt;=20 and ${p_weight_age}&lt;100,"0.7","--")))))</v>
      </c>
      <c r="I73" s="2" t="str">
        <f>CONCATENATE("if(${p_age}&gt;=",Table2[[#This Row],[Min_age_months]]," and ${p_age}&lt;",Table2[[#This Row],[Max_age_months]],",""",Table2[[#This Row],[rate]],""",",IF(Table2[[#This Row],[drug]]=A74,I74,"""--"""),")")</f>
        <v>if(${p_age}&gt;=0 and ${p_age}&lt;5,"0.1",if(${p_age}&gt;=5 and ${p_age}&lt;12,"0.2",if(${p_age}&gt;=12 and ${p_age}&lt;36,"0.4",if(${p_age}&gt;=36 and ${p_age}&lt;60,"0.5",if(${p_age}&gt;=60 and ${p_age}&lt;99,"0.7","--")))))</v>
      </c>
      <c r="J73" s="2" t="str">
        <f>CONCATENATE("if(${p_weight}&gt;0,",Table2[[#This Row],[Formula weight]],",",Table2[[#This Row],[Formula Age]],")")</f>
        <v>if(${p_weight}&gt;0,if(${p_weight_age}&gt;=0 and ${p_weight_age}&lt;6,"0.1",if(${p_weight_age}&gt;=6 and ${p_weight_age}&lt;10,"0.2",if(${p_weight_age}&gt;=10 and ${p_weight_age}&lt;15,"0.4",if(${p_weight_age}&gt;=15 and ${p_weight_age}&lt;20,"0.5",if(${p_weight_age}&gt;=20 and ${p_weight_age}&lt;100,"0.7","--"))))),if(${p_age}&gt;=0 and ${p_age}&lt;5,"0.1",if(${p_age}&gt;=5 and ${p_age}&lt;12,"0.2",if(${p_age}&gt;=12 and ${p_age}&lt;36,"0.4",if(${p_age}&gt;=36 and ${p_age}&lt;60,"0.5",if(${p_age}&gt;=60 and ${p_age}&lt;99,"0.7","--"))))))</v>
      </c>
      <c r="K73" s="2" t="str">
        <f>GenerateDrugString(Table2[[#This Row],[Min_weight_kg]],Table2[[#This Row],[Max_weight_kg]],Table2[[#This Row],[rate]],Table35[kg])</f>
        <v>0.1 0.1 0.1 0.1 0.1 0.1</v>
      </c>
      <c r="L73" s="2" t="str">
        <f>CONCATENATE(Table2[[#This Row],[drugStringLine]],IF(TRIM(Table2[[#This Row],[drugStringLine]])="",""," "),IF(Table2[[#This Row],[drug]]=A74,L74,""))</f>
        <v xml:space="preserve">0.1 0.1 0.1 0.1 0.1 0.1 0.2 0.2 0.2 0.2 0.2 0.4 0.4 0.4 0.4 0.5 0.7 0.7 </v>
      </c>
    </row>
    <row r="74" spans="1:12">
      <c r="A74" t="s">
        <v>28</v>
      </c>
      <c r="B74" t="str">
        <f>IF(Table2[[#This Row],[drug]]&lt;&gt;A73,Table2[[#This Row],[drug]],"")</f>
        <v/>
      </c>
      <c r="C74">
        <v>6</v>
      </c>
      <c r="D74">
        <v>10</v>
      </c>
      <c r="E74">
        <v>5</v>
      </c>
      <c r="F74">
        <v>12</v>
      </c>
      <c r="G74">
        <v>0.2</v>
      </c>
      <c r="H74" s="2" t="str">
        <f>CONCATENATE("if(${p_weight_age}&gt;=",Table2[[#This Row],[Min_weight_kg]]," and ${p_weight_age}&lt;",Table2[[#This Row],[Max_weight_kg]],",""",Table2[[#This Row],[rate]],""",",IF(Table2[[#This Row],[drug]]=A75,H75,"""--"""),")")</f>
        <v>if(${p_weight_age}&gt;=6 and ${p_weight_age}&lt;10,"0.2",if(${p_weight_age}&gt;=10 and ${p_weight_age}&lt;15,"0.4",if(${p_weight_age}&gt;=15 and ${p_weight_age}&lt;20,"0.5",if(${p_weight_age}&gt;=20 and ${p_weight_age}&lt;100,"0.7","--"))))</v>
      </c>
      <c r="I74" s="2" t="str">
        <f>CONCATENATE("if(${p_age}&gt;=",Table2[[#This Row],[Min_age_months]]," and ${p_age}&lt;",Table2[[#This Row],[Max_age_months]],",""",Table2[[#This Row],[rate]],""",",IF(Table2[[#This Row],[drug]]=A75,I75,"""--"""),")")</f>
        <v>if(${p_age}&gt;=5 and ${p_age}&lt;12,"0.2",if(${p_age}&gt;=12 and ${p_age}&lt;36,"0.4",if(${p_age}&gt;=36 and ${p_age}&lt;60,"0.5",if(${p_age}&gt;=60 and ${p_age}&lt;99,"0.7","--"))))</v>
      </c>
      <c r="J74" s="2" t="str">
        <f>CONCATENATE("if(${p_weight}&gt;0,",Table2[[#This Row],[Formula weight]],",",Table2[[#This Row],[Formula Age]],")")</f>
        <v>if(${p_weight}&gt;0,if(${p_weight_age}&gt;=6 and ${p_weight_age}&lt;10,"0.2",if(${p_weight_age}&gt;=10 and ${p_weight_age}&lt;15,"0.4",if(${p_weight_age}&gt;=15 and ${p_weight_age}&lt;20,"0.5",if(${p_weight_age}&gt;=20 and ${p_weight_age}&lt;100,"0.7","--")))),if(${p_age}&gt;=5 and ${p_age}&lt;12,"0.2",if(${p_age}&gt;=12 and ${p_age}&lt;36,"0.4",if(${p_age}&gt;=36 and ${p_age}&lt;60,"0.5",if(${p_age}&gt;=60 and ${p_age}&lt;99,"0.7","--")))))</v>
      </c>
      <c r="K74" s="2" t="str">
        <f>GenerateDrugString(Table2[[#This Row],[Min_weight_kg]],Table2[[#This Row],[Max_weight_kg]],Table2[[#This Row],[rate]],Table35[kg])</f>
        <v>0.2 0.2 0.2 0.2 0.2</v>
      </c>
      <c r="L74" s="2" t="str">
        <f>CONCATENATE(Table2[[#This Row],[drugStringLine]],IF(TRIM(Table2[[#This Row],[drugStringLine]])="",""," "),IF(Table2[[#This Row],[drug]]=A75,L75,""))</f>
        <v xml:space="preserve">0.2 0.2 0.2 0.2 0.2 0.4 0.4 0.4 0.4 0.5 0.7 0.7 </v>
      </c>
    </row>
    <row r="75" spans="1:12">
      <c r="A75" t="s">
        <v>28</v>
      </c>
      <c r="B75" t="str">
        <f>IF(Table2[[#This Row],[drug]]&lt;&gt;A74,Table2[[#This Row],[drug]],"")</f>
        <v/>
      </c>
      <c r="C75">
        <v>10</v>
      </c>
      <c r="D75">
        <v>15</v>
      </c>
      <c r="E75">
        <v>12</v>
      </c>
      <c r="F75">
        <v>36</v>
      </c>
      <c r="G75">
        <v>0.4</v>
      </c>
      <c r="H75" s="2" t="str">
        <f>CONCATENATE("if(${p_weight_age}&gt;=",Table2[[#This Row],[Min_weight_kg]]," and ${p_weight_age}&lt;",Table2[[#This Row],[Max_weight_kg]],",""",Table2[[#This Row],[rate]],""",",IF(Table2[[#This Row],[drug]]=A76,H76,"""--"""),")")</f>
        <v>if(${p_weight_age}&gt;=10 and ${p_weight_age}&lt;15,"0.4",if(${p_weight_age}&gt;=15 and ${p_weight_age}&lt;20,"0.5",if(${p_weight_age}&gt;=20 and ${p_weight_age}&lt;100,"0.7","--")))</v>
      </c>
      <c r="I75" s="2" t="str">
        <f>CONCATENATE("if(${p_age}&gt;=",Table2[[#This Row],[Min_age_months]]," and ${p_age}&lt;",Table2[[#This Row],[Max_age_months]],",""",Table2[[#This Row],[rate]],""",",IF(Table2[[#This Row],[drug]]=A76,I76,"""--"""),")")</f>
        <v>if(${p_age}&gt;=12 and ${p_age}&lt;36,"0.4",if(${p_age}&gt;=36 and ${p_age}&lt;60,"0.5",if(${p_age}&gt;=60 and ${p_age}&lt;99,"0.7","--")))</v>
      </c>
      <c r="J75" s="2" t="str">
        <f>CONCATENATE("if(${p_weight}&gt;0,",Table2[[#This Row],[Formula weight]],",",Table2[[#This Row],[Formula Age]],")")</f>
        <v>if(${p_weight}&gt;0,if(${p_weight_age}&gt;=10 and ${p_weight_age}&lt;15,"0.4",if(${p_weight_age}&gt;=15 and ${p_weight_age}&lt;20,"0.5",if(${p_weight_age}&gt;=20 and ${p_weight_age}&lt;100,"0.7","--"))),if(${p_age}&gt;=12 and ${p_age}&lt;36,"0.4",if(${p_age}&gt;=36 and ${p_age}&lt;60,"0.5",if(${p_age}&gt;=60 and ${p_age}&lt;99,"0.7","--"))))</v>
      </c>
      <c r="K75" s="2" t="str">
        <f>GenerateDrugString(Table2[[#This Row],[Min_weight_kg]],Table2[[#This Row],[Max_weight_kg]],Table2[[#This Row],[rate]],Table35[kg])</f>
        <v>0.4 0.4 0.4 0.4</v>
      </c>
      <c r="L75" s="2" t="str">
        <f>CONCATENATE(Table2[[#This Row],[drugStringLine]],IF(TRIM(Table2[[#This Row],[drugStringLine]])="",""," "),IF(Table2[[#This Row],[drug]]=A76,L76,""))</f>
        <v xml:space="preserve">0.4 0.4 0.4 0.4 0.5 0.7 0.7 </v>
      </c>
    </row>
    <row r="76" spans="1:12">
      <c r="A76" t="s">
        <v>28</v>
      </c>
      <c r="B76" t="str">
        <f>IF(Table2[[#This Row],[drug]]&lt;&gt;A75,Table2[[#This Row],[drug]],"")</f>
        <v/>
      </c>
      <c r="C76">
        <v>15</v>
      </c>
      <c r="D76">
        <v>20</v>
      </c>
      <c r="E76">
        <v>36</v>
      </c>
      <c r="F76">
        <v>60</v>
      </c>
      <c r="G76">
        <v>0.5</v>
      </c>
      <c r="H76" s="2" t="str">
        <f>CONCATENATE("if(${p_weight_age}&gt;=",Table2[[#This Row],[Min_weight_kg]]," and ${p_weight_age}&lt;",Table2[[#This Row],[Max_weight_kg]],",""",Table2[[#This Row],[rate]],""",",IF(Table2[[#This Row],[drug]]=A77,H77,"""--"""),")")</f>
        <v>if(${p_weight_age}&gt;=15 and ${p_weight_age}&lt;20,"0.5",if(${p_weight_age}&gt;=20 and ${p_weight_age}&lt;100,"0.7","--"))</v>
      </c>
      <c r="I76" s="2" t="str">
        <f>CONCATENATE("if(${p_age}&gt;=",Table2[[#This Row],[Min_age_months]]," and ${p_age}&lt;",Table2[[#This Row],[Max_age_months]],",""",Table2[[#This Row],[rate]],""",",IF(Table2[[#This Row],[drug]]=A77,I77,"""--"""),")")</f>
        <v>if(${p_age}&gt;=36 and ${p_age}&lt;60,"0.5",if(${p_age}&gt;=60 and ${p_age}&lt;99,"0.7","--"))</v>
      </c>
      <c r="J76" s="2" t="str">
        <f>CONCATENATE("if(${p_weight}&gt;0,",Table2[[#This Row],[Formula weight]],",",Table2[[#This Row],[Formula Age]],")")</f>
        <v>if(${p_weight}&gt;0,if(${p_weight_age}&gt;=15 and ${p_weight_age}&lt;20,"0.5",if(${p_weight_age}&gt;=20 and ${p_weight_age}&lt;100,"0.7","--")),if(${p_age}&gt;=36 and ${p_age}&lt;60,"0.5",if(${p_age}&gt;=60 and ${p_age}&lt;99,"0.7","--")))</v>
      </c>
      <c r="K76" s="2" t="str">
        <f>GenerateDrugString(Table2[[#This Row],[Min_weight_kg]],Table2[[#This Row],[Max_weight_kg]],Table2[[#This Row],[rate]],Table35[kg])</f>
        <v>0.5</v>
      </c>
      <c r="L76" s="2" t="str">
        <f>CONCATENATE(Table2[[#This Row],[drugStringLine]],IF(TRIM(Table2[[#This Row],[drugStringLine]])="",""," "),IF(Table2[[#This Row],[drug]]=A77,L77,""))</f>
        <v xml:space="preserve">0.5 0.7 0.7 </v>
      </c>
    </row>
    <row r="77" spans="1:12">
      <c r="A77" t="s">
        <v>28</v>
      </c>
      <c r="B77" t="str">
        <f>IF(Table2[[#This Row],[drug]]&lt;&gt;A76,Table2[[#This Row],[drug]],"")</f>
        <v/>
      </c>
      <c r="C77">
        <v>20</v>
      </c>
      <c r="D77">
        <v>100</v>
      </c>
      <c r="E77">
        <v>60</v>
      </c>
      <c r="F77">
        <v>99</v>
      </c>
      <c r="G77">
        <v>0.7</v>
      </c>
      <c r="H77" s="2" t="str">
        <f>CONCATENATE("if(${p_weight_age}&gt;=",Table2[[#This Row],[Min_weight_kg]]," and ${p_weight_age}&lt;",Table2[[#This Row],[Max_weight_kg]],",""",Table2[[#This Row],[rate]],""",",IF(Table2[[#This Row],[drug]]=A78,H78,"""--"""),")")</f>
        <v>if(${p_weight_age}&gt;=20 and ${p_weight_age}&lt;100,"0.7","--")</v>
      </c>
      <c r="I77" s="2" t="str">
        <f>CONCATENATE("if(${p_age}&gt;=",Table2[[#This Row],[Min_age_months]]," and ${p_age}&lt;",Table2[[#This Row],[Max_age_months]],",""",Table2[[#This Row],[rate]],""",",IF(Table2[[#This Row],[drug]]=A78,I78,"""--"""),")")</f>
        <v>if(${p_age}&gt;=60 and ${p_age}&lt;99,"0.7","--")</v>
      </c>
      <c r="J77" s="2" t="str">
        <f>CONCATENATE("if(${p_weight}&gt;0,",Table2[[#This Row],[Formula weight]],",",Table2[[#This Row],[Formula Age]],")")</f>
        <v>if(${p_weight}&gt;0,if(${p_weight_age}&gt;=20 and ${p_weight_age}&lt;100,"0.7","--"),if(${p_age}&gt;=60 and ${p_age}&lt;99,"0.7","--"))</v>
      </c>
      <c r="K77" s="2" t="str">
        <f>GenerateDrugString(Table2[[#This Row],[Min_weight_kg]],Table2[[#This Row],[Max_weight_kg]],Table2[[#This Row],[rate]],Table35[kg])</f>
        <v>0.7 0.7</v>
      </c>
      <c r="L77" s="2" t="str">
        <f>CONCATENATE(Table2[[#This Row],[drugStringLine]],IF(TRIM(Table2[[#This Row],[drugStringLine]])="",""," "),IF(Table2[[#This Row],[drug]]=A78,L78,""))</f>
        <v xml:space="preserve">0.7 0.7 </v>
      </c>
    </row>
    <row r="78" spans="1:12">
      <c r="A78" t="s">
        <v>29</v>
      </c>
      <c r="B78" t="str">
        <f>IF(Table2[[#This Row],[drug]]&lt;&gt;A77,Table2[[#This Row],[drug]],"")</f>
        <v>zinc_tab</v>
      </c>
      <c r="E78">
        <v>2</v>
      </c>
      <c r="F78">
        <v>6</v>
      </c>
      <c r="G78" t="s">
        <v>5</v>
      </c>
      <c r="H78" s="2" t="str">
        <f>CONCATENATE("if(${p_weight_age}&gt;=",Table2[[#This Row],[Min_weight_kg]]," and ${p_weight_age}&lt;",Table2[[#This Row],[Max_weight_kg]],",""",Table2[[#This Row],[rate]],""",",IF(Table2[[#This Row],[drug]]=A79,H79,"""--"""),")")</f>
        <v>if(${p_weight_age}&gt;= and ${p_weight_age}&lt;,"1/2",if(${p_weight_age}&gt;= and ${p_weight_age}&lt;,"1","--"))</v>
      </c>
      <c r="I78" s="2" t="str">
        <f>CONCATENATE("if(${p_age}&gt;=",Table2[[#This Row],[Min_age_months]]," and ${p_age}&lt;",Table2[[#This Row],[Max_age_months]],",""",Table2[[#This Row],[rate]],""",",IF(Table2[[#This Row],[drug]]=A79,I79,"""--"""),")")</f>
        <v>if(${p_age}&gt;=2 and ${p_age}&lt;6,"1/2",if(${p_age}&gt;=6 and ${p_age}&lt;61,"1","--"))</v>
      </c>
      <c r="J78" s="2" t="str">
        <f>CONCATENATE("if(${p_weight}&gt;0,",Table2[[#This Row],[Formula weight]],",",Table2[[#This Row],[Formula Age]],")")</f>
        <v>if(${p_weight}&gt;0,if(${p_weight_age}&gt;= and ${p_weight_age}&lt;,"1/2",if(${p_weight_age}&gt;= and ${p_weight_age}&lt;,"1","--")),if(${p_age}&gt;=2 and ${p_age}&lt;6,"1/2",if(${p_age}&gt;=6 and ${p_age}&lt;61,"1","--")))</v>
      </c>
      <c r="K78" s="2" t="str">
        <f>GenerateDrugString(Table2[[#This Row],[Min_weight_kg]],Table2[[#This Row],[Max_weight_kg]],Table2[[#This Row],[rate]],Table35[kg])</f>
        <v/>
      </c>
      <c r="L78" s="2" t="str">
        <f>CONCATENATE(Table2[[#This Row],[drugStringLine]],IF(TRIM(Table2[[#This Row],[drugStringLine]])="",""," "),IF(Table2[[#This Row],[drug]]=A79,L79,""))</f>
        <v/>
      </c>
    </row>
    <row r="79" spans="1:12">
      <c r="A79" t="s">
        <v>29</v>
      </c>
      <c r="B79" t="str">
        <f>IF(Table2[[#This Row],[drug]]&lt;&gt;A78,Table2[[#This Row],[drug]],"")</f>
        <v/>
      </c>
      <c r="E79">
        <v>6</v>
      </c>
      <c r="F79">
        <v>61</v>
      </c>
      <c r="G79">
        <v>1</v>
      </c>
      <c r="H79" s="2" t="str">
        <f>CONCATENATE("if(${p_weight_age}&gt;=",Table2[[#This Row],[Min_weight_kg]]," and ${p_weight_age}&lt;",Table2[[#This Row],[Max_weight_kg]],",""",Table2[[#This Row],[rate]],""",",IF(Table2[[#This Row],[drug]]=A80,H80,"""--"""),")")</f>
        <v>if(${p_weight_age}&gt;= and ${p_weight_age}&lt;,"1","--")</v>
      </c>
      <c r="I79" s="2" t="str">
        <f>CONCATENATE("if(${p_age}&gt;=",Table2[[#This Row],[Min_age_months]]," and ${p_age}&lt;",Table2[[#This Row],[Max_age_months]],",""",Table2[[#This Row],[rate]],""",",IF(Table2[[#This Row],[drug]]=A80,I80,"""--"""),")")</f>
        <v>if(${p_age}&gt;=6 and ${p_age}&lt;61,"1","--")</v>
      </c>
      <c r="J79" s="2" t="str">
        <f>CONCATENATE("if(${p_weight}&gt;0,",Table2[[#This Row],[Formula weight]],",",Table2[[#This Row],[Formula Age]],")")</f>
        <v>if(${p_weight}&gt;0,if(${p_weight_age}&gt;= and ${p_weight_age}&lt;,"1","--"),if(${p_age}&gt;=6 and ${p_age}&lt;61,"1","--"))</v>
      </c>
      <c r="K79" s="2" t="str">
        <f>GenerateDrugString(Table2[[#This Row],[Min_weight_kg]],Table2[[#This Row],[Max_weight_kg]],Table2[[#This Row],[rate]],Table35[kg])</f>
        <v/>
      </c>
      <c r="L79" s="2" t="str">
        <f>CONCATENATE(Table2[[#This Row],[drugStringLine]],IF(TRIM(Table2[[#This Row],[drugStringLine]])="",""," "),IF(Table2[[#This Row],[drug]]=A80,L80,""))</f>
        <v/>
      </c>
    </row>
    <row r="80" spans="1:12">
      <c r="A80" t="s">
        <v>39</v>
      </c>
      <c r="B80" t="str">
        <f>IF(Table2[[#This Row],[drug]]&lt;&gt;A79,Table2[[#This Row],[drug]],"")</f>
        <v>paracetamol_ml</v>
      </c>
      <c r="C80">
        <v>0</v>
      </c>
      <c r="D80">
        <v>6</v>
      </c>
      <c r="E80">
        <v>2</v>
      </c>
      <c r="F80">
        <v>4</v>
      </c>
      <c r="G80">
        <v>3</v>
      </c>
      <c r="H80" s="2" t="str">
        <f>CONCATENATE("if(${p_weight_age}&gt;=",Table2[[#This Row],[Min_weight_kg]]," and ${p_weight_age}&lt;",Table2[[#This Row],[Max_weight_kg]],",""",Table2[[#This Row],[rate]],""",",IF(Table2[[#This Row],[drug]]=A81,H81,"""--"""),")")</f>
        <v>if(${p_weight_age}&gt;=0 and ${p_weight_age}&lt;6,"3",if(${p_weight_age}&gt;=6 and ${p_weight_age}&lt;10,"5",if(${p_weight_age}&gt;=10 and ${p_weight_age}&lt;15,"8",if(${p_weight_age}&gt;=15 and ${p_weight_age}&lt;100,"10","--"))))</v>
      </c>
      <c r="I80" s="2" t="str">
        <f>CONCATENATE("if(${p_age}&gt;=",Table2[[#This Row],[Min_age_months]]," and ${p_age}&lt;",Table2[[#This Row],[Max_age_months]],",""",Table2[[#This Row],[rate]],""",",IF(Table2[[#This Row],[drug]]=A81,I81,"""--"""),")")</f>
        <v>if(${p_age}&gt;=2 and ${p_age}&lt;4,"3",if(${p_age}&gt;=4 and ${p_age}&lt;12,"5",if(${p_age}&gt;=12 and ${p_age}&lt;36,"8",if(${p_age}&gt;=36 and ${p_age}&lt;61,"10","--"))))</v>
      </c>
      <c r="J80" s="2" t="str">
        <f>CONCATENATE("if(${p_weight}&gt;0,",Table2[[#This Row],[Formula weight]],",",Table2[[#This Row],[Formula Age]],")")</f>
        <v>if(${p_weight}&gt;0,if(${p_weight_age}&gt;=0 and ${p_weight_age}&lt;6,"3",if(${p_weight_age}&gt;=6 and ${p_weight_age}&lt;10,"5",if(${p_weight_age}&gt;=10 and ${p_weight_age}&lt;15,"8",if(${p_weight_age}&gt;=15 and ${p_weight_age}&lt;100,"10","--")))),if(${p_age}&gt;=2 and ${p_age}&lt;4,"3",if(${p_age}&gt;=4 and ${p_age}&lt;12,"5",if(${p_age}&gt;=12 and ${p_age}&lt;36,"8",if(${p_age}&gt;=36 and ${p_age}&lt;61,"10","--")))))</v>
      </c>
      <c r="K80" s="2" t="str">
        <f>GenerateDrugString(Table2[[#This Row],[Min_weight_kg]],Table2[[#This Row],[Max_weight_kg]],Table2[[#This Row],[rate]],Table35[kg])</f>
        <v>3 3 3 3 3 3</v>
      </c>
      <c r="L80" s="2" t="str">
        <f>CONCATENATE(Table2[[#This Row],[drugStringLine]],IF(TRIM(Table2[[#This Row],[drugStringLine]])="",""," "),IF(Table2[[#This Row],[drug]]=A81,L81,""))</f>
        <v xml:space="preserve">3 3 3 3 3 3 5 5 5 5 5 8 8 8 8 10 10 10 </v>
      </c>
    </row>
    <row r="81" spans="1:12">
      <c r="A81" t="s">
        <v>39</v>
      </c>
      <c r="B81" t="str">
        <f>IF(Table2[[#This Row],[drug]]&lt;&gt;A80,Table2[[#This Row],[drug]],"")</f>
        <v/>
      </c>
      <c r="C81">
        <v>6</v>
      </c>
      <c r="D81">
        <v>10</v>
      </c>
      <c r="E81">
        <v>4</v>
      </c>
      <c r="F81">
        <v>12</v>
      </c>
      <c r="G81">
        <v>5</v>
      </c>
      <c r="H81" s="2" t="str">
        <f>CONCATENATE("if(${p_weight_age}&gt;=",Table2[[#This Row],[Min_weight_kg]]," and ${p_weight_age}&lt;",Table2[[#This Row],[Max_weight_kg]],",""",Table2[[#This Row],[rate]],""",",IF(Table2[[#This Row],[drug]]=A82,H82,"""--"""),")")</f>
        <v>if(${p_weight_age}&gt;=6 and ${p_weight_age}&lt;10,"5",if(${p_weight_age}&gt;=10 and ${p_weight_age}&lt;15,"8",if(${p_weight_age}&gt;=15 and ${p_weight_age}&lt;100,"10","--")))</v>
      </c>
      <c r="I81" s="2" t="str">
        <f>CONCATENATE("if(${p_age}&gt;=",Table2[[#This Row],[Min_age_months]]," and ${p_age}&lt;",Table2[[#This Row],[Max_age_months]],",""",Table2[[#This Row],[rate]],""",",IF(Table2[[#This Row],[drug]]=A82,I82,"""--"""),")")</f>
        <v>if(${p_age}&gt;=4 and ${p_age}&lt;12,"5",if(${p_age}&gt;=12 and ${p_age}&lt;36,"8",if(${p_age}&gt;=36 and ${p_age}&lt;61,"10","--")))</v>
      </c>
      <c r="J81" s="2" t="str">
        <f>CONCATENATE("if(${p_weight}&gt;0,",Table2[[#This Row],[Formula weight]],",",Table2[[#This Row],[Formula Age]],")")</f>
        <v>if(${p_weight}&gt;0,if(${p_weight_age}&gt;=6 and ${p_weight_age}&lt;10,"5",if(${p_weight_age}&gt;=10 and ${p_weight_age}&lt;15,"8",if(${p_weight_age}&gt;=15 and ${p_weight_age}&lt;100,"10","--"))),if(${p_age}&gt;=4 and ${p_age}&lt;12,"5",if(${p_age}&gt;=12 and ${p_age}&lt;36,"8",if(${p_age}&gt;=36 and ${p_age}&lt;61,"10","--"))))</v>
      </c>
      <c r="K81" s="2" t="str">
        <f>GenerateDrugString(Table2[[#This Row],[Min_weight_kg]],Table2[[#This Row],[Max_weight_kg]],Table2[[#This Row],[rate]],Table35[kg])</f>
        <v>5 5 5 5 5</v>
      </c>
      <c r="L81" s="2" t="str">
        <f>CONCATENATE(Table2[[#This Row],[drugStringLine]],IF(TRIM(Table2[[#This Row],[drugStringLine]])="",""," "),IF(Table2[[#This Row],[drug]]=A82,L82,""))</f>
        <v xml:space="preserve">5 5 5 5 5 8 8 8 8 10 10 10 </v>
      </c>
    </row>
    <row r="82" spans="1:12">
      <c r="A82" t="s">
        <v>39</v>
      </c>
      <c r="B82" t="str">
        <f>IF(Table2[[#This Row],[drug]]&lt;&gt;A81,Table2[[#This Row],[drug]],"")</f>
        <v/>
      </c>
      <c r="C82">
        <v>10</v>
      </c>
      <c r="D82">
        <v>15</v>
      </c>
      <c r="E82">
        <v>12</v>
      </c>
      <c r="F82">
        <v>36</v>
      </c>
      <c r="G82">
        <v>8</v>
      </c>
      <c r="H82" s="2" t="str">
        <f>CONCATENATE("if(${p_weight_age}&gt;=",Table2[[#This Row],[Min_weight_kg]]," and ${p_weight_age}&lt;",Table2[[#This Row],[Max_weight_kg]],",""",Table2[[#This Row],[rate]],""",",IF(Table2[[#This Row],[drug]]=A83,H83,"""--"""),")")</f>
        <v>if(${p_weight_age}&gt;=10 and ${p_weight_age}&lt;15,"8",if(${p_weight_age}&gt;=15 and ${p_weight_age}&lt;100,"10","--"))</v>
      </c>
      <c r="I82" s="2" t="str">
        <f>CONCATENATE("if(${p_age}&gt;=",Table2[[#This Row],[Min_age_months]]," and ${p_age}&lt;",Table2[[#This Row],[Max_age_months]],",""",Table2[[#This Row],[rate]],""",",IF(Table2[[#This Row],[drug]]=A83,I83,"""--"""),")")</f>
        <v>if(${p_age}&gt;=12 and ${p_age}&lt;36,"8",if(${p_age}&gt;=36 and ${p_age}&lt;61,"10","--"))</v>
      </c>
      <c r="J82" s="2" t="str">
        <f>CONCATENATE("if(${p_weight}&gt;0,",Table2[[#This Row],[Formula weight]],",",Table2[[#This Row],[Formula Age]],")")</f>
        <v>if(${p_weight}&gt;0,if(${p_weight_age}&gt;=10 and ${p_weight_age}&lt;15,"8",if(${p_weight_age}&gt;=15 and ${p_weight_age}&lt;100,"10","--")),if(${p_age}&gt;=12 and ${p_age}&lt;36,"8",if(${p_age}&gt;=36 and ${p_age}&lt;61,"10","--")))</v>
      </c>
      <c r="K82" s="2" t="str">
        <f>GenerateDrugString(Table2[[#This Row],[Min_weight_kg]],Table2[[#This Row],[Max_weight_kg]],Table2[[#This Row],[rate]],Table35[kg])</f>
        <v>8 8 8 8</v>
      </c>
      <c r="L82" s="2" t="str">
        <f>CONCATENATE(Table2[[#This Row],[drugStringLine]],IF(TRIM(Table2[[#This Row],[drugStringLine]])="",""," "),IF(Table2[[#This Row],[drug]]=A83,L83,""))</f>
        <v xml:space="preserve">8 8 8 8 10 10 10 </v>
      </c>
    </row>
    <row r="83" spans="1:12">
      <c r="A83" t="s">
        <v>39</v>
      </c>
      <c r="B83" t="str">
        <f>IF(Table2[[#This Row],[drug]]&lt;&gt;A82,Table2[[#This Row],[drug]],"")</f>
        <v/>
      </c>
      <c r="C83">
        <v>15</v>
      </c>
      <c r="D83">
        <v>100</v>
      </c>
      <c r="E83">
        <v>36</v>
      </c>
      <c r="F83">
        <v>61</v>
      </c>
      <c r="G83">
        <v>10</v>
      </c>
      <c r="H83" s="2" t="str">
        <f>CONCATENATE("if(${p_weight_age}&gt;=",Table2[[#This Row],[Min_weight_kg]]," and ${p_weight_age}&lt;",Table2[[#This Row],[Max_weight_kg]],",""",Table2[[#This Row],[rate]],""",",IF(Table2[[#This Row],[drug]]=A84,H84,"""--"""),")")</f>
        <v>if(${p_weight_age}&gt;=15 and ${p_weight_age}&lt;100,"10","--")</v>
      </c>
      <c r="I83" s="2" t="str">
        <f>CONCATENATE("if(${p_age}&gt;=",Table2[[#This Row],[Min_age_months]]," and ${p_age}&lt;",Table2[[#This Row],[Max_age_months]],",""",Table2[[#This Row],[rate]],""",",IF(Table2[[#This Row],[drug]]=A84,I84,"""--"""),")")</f>
        <v>if(${p_age}&gt;=36 and ${p_age}&lt;61,"10","--")</v>
      </c>
      <c r="J83" s="2" t="str">
        <f>CONCATENATE("if(${p_weight}&gt;0,",Table2[[#This Row],[Formula weight]],",",Table2[[#This Row],[Formula Age]],")")</f>
        <v>if(${p_weight}&gt;0,if(${p_weight_age}&gt;=15 and ${p_weight_age}&lt;100,"10","--"),if(${p_age}&gt;=36 and ${p_age}&lt;61,"10","--"))</v>
      </c>
      <c r="K83" s="2" t="str">
        <f>GenerateDrugString(Table2[[#This Row],[Min_weight_kg]],Table2[[#This Row],[Max_weight_kg]],Table2[[#This Row],[rate]],Table35[kg])</f>
        <v>10 10 10</v>
      </c>
      <c r="L83" s="2" t="str">
        <f>CONCATENATE(Table2[[#This Row],[drugStringLine]],IF(TRIM(Table2[[#This Row],[drugStringLine]])="",""," "),IF(Table2[[#This Row],[drug]]=A84,L84,""))</f>
        <v xml:space="preserve">10 10 10 </v>
      </c>
    </row>
    <row r="84" spans="1:12">
      <c r="A84" t="s">
        <v>40</v>
      </c>
      <c r="B84" t="str">
        <f>IF(Table2[[#This Row],[drug]]&lt;&gt;A83,Table2[[#This Row],[drug]],"")</f>
        <v>paracetamol_tab</v>
      </c>
      <c r="C84">
        <v>0</v>
      </c>
      <c r="D84">
        <v>6</v>
      </c>
      <c r="E84">
        <v>0</v>
      </c>
      <c r="F84">
        <v>4</v>
      </c>
      <c r="G84" s="4" t="s">
        <v>70</v>
      </c>
      <c r="H84" s="2" t="str">
        <f>CONCATENATE("if(${p_weight_age}&gt;=",Table2[[#This Row],[Min_weight_kg]]," and ${p_weight_age}&lt;",Table2[[#This Row],[Max_weight_kg]],",""",Table2[[#This Row],[rate]],""",",IF(Table2[[#This Row],[drug]]=A85,H85,"""--"""),")")</f>
        <v>if(${p_weight_age}&gt;=0 and ${p_weight_age}&lt;6,"0",if(${p_weight_age}&gt;=6 and ${p_weight_age}&lt;10,"1/4",if(${p_weight_age}&gt;=10 and ${p_weight_age}&lt;15,"1/4",if(${p_weight_age}&gt;=15 and ${p_weight_age}&lt;100,"1/2","--"))))</v>
      </c>
      <c r="I84" s="2" t="str">
        <f>CONCATENATE("if(${p_age}&gt;=",Table2[[#This Row],[Min_age_months]]," and ${p_age}&lt;",Table2[[#This Row],[Max_age_months]],",""",Table2[[#This Row],[rate]],""",",IF(Table2[[#This Row],[drug]]=A85,I85,"""--"""),")")</f>
        <v>if(${p_age}&gt;=0 and ${p_age}&lt;4,"0",if(${p_age}&gt;=4 and ${p_age}&lt;12,"1/4",if(${p_age}&gt;=12 and ${p_age}&lt;36,"1/4",if(${p_age}&gt;=36 and ${p_age}&lt;61,"1/2","--"))))</v>
      </c>
      <c r="J84" s="2" t="str">
        <f>CONCATENATE("if(${p_weight}&gt;0,",Table2[[#This Row],[Formula weight]],",",Table2[[#This Row],[Formula Age]],")")</f>
        <v>if(${p_weight}&gt;0,if(${p_weight_age}&gt;=0 and ${p_weight_age}&lt;6,"0",if(${p_weight_age}&gt;=6 and ${p_weight_age}&lt;10,"1/4",if(${p_weight_age}&gt;=10 and ${p_weight_age}&lt;15,"1/4",if(${p_weight_age}&gt;=15 and ${p_weight_age}&lt;100,"1/2","--")))),if(${p_age}&gt;=0 and ${p_age}&lt;4,"0",if(${p_age}&gt;=4 and ${p_age}&lt;12,"1/4",if(${p_age}&gt;=12 and ${p_age}&lt;36,"1/4",if(${p_age}&gt;=36 and ${p_age}&lt;61,"1/2","--")))))</v>
      </c>
      <c r="K84" s="2" t="str">
        <f>GenerateDrugString(Table2[[#This Row],[Min_weight_kg]],Table2[[#This Row],[Max_weight_kg]],Table2[[#This Row],[rate]],Table35[kg])</f>
        <v>0 0 0 0 0 0</v>
      </c>
      <c r="L84" s="2" t="str">
        <f>CONCATENATE(Table2[[#This Row],[drugStringLine]],IF(TRIM(Table2[[#This Row],[drugStringLine]])="",""," "),IF(Table2[[#This Row],[drug]]=A85,L85,""))</f>
        <v xml:space="preserve">0 0 0 0 0 0 1/4 1/4 1/4 1/4 1/4 1/4 1/4 1/4 1/4 1/2 1/2 1/2 </v>
      </c>
    </row>
    <row r="85" spans="1:12">
      <c r="A85" t="s">
        <v>40</v>
      </c>
      <c r="B85" t="str">
        <f>IF(Table2[[#This Row],[drug]]&lt;&gt;A84,Table2[[#This Row],[drug]],"")</f>
        <v/>
      </c>
      <c r="C85">
        <v>6</v>
      </c>
      <c r="D85">
        <v>10</v>
      </c>
      <c r="E85">
        <v>4</v>
      </c>
      <c r="F85">
        <v>12</v>
      </c>
      <c r="G85" t="s">
        <v>4</v>
      </c>
      <c r="H85" s="2" t="str">
        <f>CONCATENATE("if(${p_weight_age}&gt;=",Table2[[#This Row],[Min_weight_kg]]," and ${p_weight_age}&lt;",Table2[[#This Row],[Max_weight_kg]],",""",Table2[[#This Row],[rate]],""",",IF(Table2[[#This Row],[drug]]=A86,H86,"""--"""),")")</f>
        <v>if(${p_weight_age}&gt;=6 and ${p_weight_age}&lt;10,"1/4",if(${p_weight_age}&gt;=10 and ${p_weight_age}&lt;15,"1/4",if(${p_weight_age}&gt;=15 and ${p_weight_age}&lt;100,"1/2","--")))</v>
      </c>
      <c r="I85" s="2" t="str">
        <f>CONCATENATE("if(${p_age}&gt;=",Table2[[#This Row],[Min_age_months]]," and ${p_age}&lt;",Table2[[#This Row],[Max_age_months]],",""",Table2[[#This Row],[rate]],""",",IF(Table2[[#This Row],[drug]]=A86,I86,"""--"""),")")</f>
        <v>if(${p_age}&gt;=4 and ${p_age}&lt;12,"1/4",if(${p_age}&gt;=12 and ${p_age}&lt;36,"1/4",if(${p_age}&gt;=36 and ${p_age}&lt;61,"1/2","--")))</v>
      </c>
      <c r="J85" s="2" t="str">
        <f>CONCATENATE("if(${p_weight}&gt;0,",Table2[[#This Row],[Formula weight]],",",Table2[[#This Row],[Formula Age]],")")</f>
        <v>if(${p_weight}&gt;0,if(${p_weight_age}&gt;=6 and ${p_weight_age}&lt;10,"1/4",if(${p_weight_age}&gt;=10 and ${p_weight_age}&lt;15,"1/4",if(${p_weight_age}&gt;=15 and ${p_weight_age}&lt;100,"1/2","--"))),if(${p_age}&gt;=4 and ${p_age}&lt;12,"1/4",if(${p_age}&gt;=12 and ${p_age}&lt;36,"1/4",if(${p_age}&gt;=36 and ${p_age}&lt;61,"1/2","--"))))</v>
      </c>
      <c r="K85" s="2" t="str">
        <f>GenerateDrugString(Table2[[#This Row],[Min_weight_kg]],Table2[[#This Row],[Max_weight_kg]],Table2[[#This Row],[rate]],Table35[kg])</f>
        <v>1/4 1/4 1/4 1/4 1/4</v>
      </c>
      <c r="L85" s="2" t="str">
        <f>CONCATENATE(Table2[[#This Row],[drugStringLine]],IF(TRIM(Table2[[#This Row],[drugStringLine]])="",""," "),IF(Table2[[#This Row],[drug]]=A86,L86,""))</f>
        <v xml:space="preserve">1/4 1/4 1/4 1/4 1/4 1/4 1/4 1/4 1/4 1/2 1/2 1/2 </v>
      </c>
    </row>
    <row r="86" spans="1:12">
      <c r="A86" t="s">
        <v>40</v>
      </c>
      <c r="B86" t="str">
        <f>IF(Table2[[#This Row],[drug]]&lt;&gt;A85,Table2[[#This Row],[drug]],"")</f>
        <v/>
      </c>
      <c r="C86">
        <v>10</v>
      </c>
      <c r="D86">
        <v>15</v>
      </c>
      <c r="E86">
        <v>12</v>
      </c>
      <c r="F86">
        <v>36</v>
      </c>
      <c r="G86" t="s">
        <v>4</v>
      </c>
      <c r="H86" s="2" t="str">
        <f>CONCATENATE("if(${p_weight_age}&gt;=",Table2[[#This Row],[Min_weight_kg]]," and ${p_weight_age}&lt;",Table2[[#This Row],[Max_weight_kg]],",""",Table2[[#This Row],[rate]],""",",IF(Table2[[#This Row],[drug]]=A87,H87,"""--"""),")")</f>
        <v>if(${p_weight_age}&gt;=10 and ${p_weight_age}&lt;15,"1/4",if(${p_weight_age}&gt;=15 and ${p_weight_age}&lt;100,"1/2","--"))</v>
      </c>
      <c r="I86" s="2" t="str">
        <f>CONCATENATE("if(${p_age}&gt;=",Table2[[#This Row],[Min_age_months]]," and ${p_age}&lt;",Table2[[#This Row],[Max_age_months]],",""",Table2[[#This Row],[rate]],""",",IF(Table2[[#This Row],[drug]]=A87,I87,"""--"""),")")</f>
        <v>if(${p_age}&gt;=12 and ${p_age}&lt;36,"1/4",if(${p_age}&gt;=36 and ${p_age}&lt;61,"1/2","--"))</v>
      </c>
      <c r="J86" s="2" t="str">
        <f>CONCATENATE("if(${p_weight}&gt;0,",Table2[[#This Row],[Formula weight]],",",Table2[[#This Row],[Formula Age]],")")</f>
        <v>if(${p_weight}&gt;0,if(${p_weight_age}&gt;=10 and ${p_weight_age}&lt;15,"1/4",if(${p_weight_age}&gt;=15 and ${p_weight_age}&lt;100,"1/2","--")),if(${p_age}&gt;=12 and ${p_age}&lt;36,"1/4",if(${p_age}&gt;=36 and ${p_age}&lt;61,"1/2","--")))</v>
      </c>
      <c r="K86" s="2" t="str">
        <f>GenerateDrugString(Table2[[#This Row],[Min_weight_kg]],Table2[[#This Row],[Max_weight_kg]],Table2[[#This Row],[rate]],Table35[kg])</f>
        <v>1/4 1/4 1/4 1/4</v>
      </c>
      <c r="L86" s="2" t="str">
        <f>CONCATENATE(Table2[[#This Row],[drugStringLine]],IF(TRIM(Table2[[#This Row],[drugStringLine]])="",""," "),IF(Table2[[#This Row],[drug]]=A87,L87,""))</f>
        <v xml:space="preserve">1/4 1/4 1/4 1/4 1/2 1/2 1/2 </v>
      </c>
    </row>
    <row r="87" spans="1:12">
      <c r="A87" t="s">
        <v>40</v>
      </c>
      <c r="B87" t="str">
        <f>IF(Table2[[#This Row],[drug]]&lt;&gt;A86,Table2[[#This Row],[drug]],"")</f>
        <v/>
      </c>
      <c r="C87">
        <v>15</v>
      </c>
      <c r="D87">
        <v>100</v>
      </c>
      <c r="E87">
        <v>36</v>
      </c>
      <c r="F87">
        <v>61</v>
      </c>
      <c r="G87" t="s">
        <v>5</v>
      </c>
      <c r="H87" s="2" t="str">
        <f>CONCATENATE("if(${p_weight_age}&gt;=",Table2[[#This Row],[Min_weight_kg]]," and ${p_weight_age}&lt;",Table2[[#This Row],[Max_weight_kg]],",""",Table2[[#This Row],[rate]],""",",IF(Table2[[#This Row],[drug]]=A88,H88,"""--"""),")")</f>
        <v>if(${p_weight_age}&gt;=15 and ${p_weight_age}&lt;100,"1/2","--")</v>
      </c>
      <c r="I87" s="2" t="str">
        <f>CONCATENATE("if(${p_age}&gt;=",Table2[[#This Row],[Min_age_months]]," and ${p_age}&lt;",Table2[[#This Row],[Max_age_months]],",""",Table2[[#This Row],[rate]],""",",IF(Table2[[#This Row],[drug]]=A88,I88,"""--"""),")")</f>
        <v>if(${p_age}&gt;=36 and ${p_age}&lt;61,"1/2","--")</v>
      </c>
      <c r="J87" s="2" t="str">
        <f>CONCATENATE("if(${p_weight}&gt;0,",Table2[[#This Row],[Formula weight]],",",Table2[[#This Row],[Formula Age]],")")</f>
        <v>if(${p_weight}&gt;0,if(${p_weight_age}&gt;=15 and ${p_weight_age}&lt;100,"1/2","--"),if(${p_age}&gt;=36 and ${p_age}&lt;61,"1/2","--"))</v>
      </c>
      <c r="K87" s="2" t="str">
        <f>GenerateDrugString(Table2[[#This Row],[Min_weight_kg]],Table2[[#This Row],[Max_weight_kg]],Table2[[#This Row],[rate]],Table35[kg])</f>
        <v>1/2 1/2 1/2</v>
      </c>
      <c r="L87" s="2" t="str">
        <f>CONCATENATE(Table2[[#This Row],[drugStringLine]],IF(TRIM(Table2[[#This Row],[drugStringLine]])="",""," "),IF(Table2[[#This Row],[drug]]=A88,L88,""))</f>
        <v xml:space="preserve">1/2 1/2 1/2 </v>
      </c>
    </row>
    <row r="88" spans="1:12">
      <c r="A88" t="s">
        <v>41</v>
      </c>
      <c r="B88" t="str">
        <f>IF(Table2[[#This Row],[drug]]&lt;&gt;A87,Table2[[#This Row],[drug]],"")</f>
        <v>iron_ml</v>
      </c>
      <c r="C88">
        <v>0</v>
      </c>
      <c r="D88">
        <v>6</v>
      </c>
      <c r="E88">
        <v>2</v>
      </c>
      <c r="F88">
        <v>4</v>
      </c>
      <c r="G88" t="s">
        <v>11</v>
      </c>
      <c r="H88" s="2" t="str">
        <f>CONCATENATE("if(${p_weight_age}&gt;=",Table2[[#This Row],[Min_weight_kg]]," and ${p_weight_age}&lt;",Table2[[#This Row],[Max_weight_kg]],",""",Table2[[#This Row],[rate]],""",",IF(Table2[[#This Row],[drug]]=A89,H89,"""--"""),")")</f>
        <v>if(${p_weight_age}&gt;=0 and ${p_weight_age}&lt;6,"1.00 (&lt;1/4 c.à.c)",if(${p_weight_age}&gt;=6 and ${p_weight_age}&lt;10,"1.25 (1/4 c.à.c)",if(${p_weight_age}&gt;=10 and ${p_weight_age}&lt;15,"2.00 (&lt;1/2 c.à.c)",if(${p_weight_age}&gt;=15 and ${p_weight_age}&lt;100,"2.5 (1/2 c.à.c)","--"))))</v>
      </c>
      <c r="I88" s="2" t="str">
        <f>CONCATENATE("if(${p_age}&gt;=",Table2[[#This Row],[Min_age_months]]," and ${p_age}&lt;",Table2[[#This Row],[Max_age_months]],",""",Table2[[#This Row],[rate]],""",",IF(Table2[[#This Row],[drug]]=A89,I89,"""--"""),")")</f>
        <v>if(${p_age}&gt;=2 and ${p_age}&lt;4,"1.00 (&lt;1/4 c.à.c)",if(${p_age}&gt;=4 and ${p_age}&lt;12,"1.25 (1/4 c.à.c)",if(${p_age}&gt;=12 and ${p_age}&lt;36,"2.00 (&lt;1/2 c.à.c)",if(${p_age}&gt;=36 and ${p_age}&lt;61,"2.5 (1/2 c.à.c)","--"))))</v>
      </c>
      <c r="J88" s="2" t="str">
        <f>CONCATENATE("if(${p_weight}&gt;0,",Table2[[#This Row],[Formula weight]],",",Table2[[#This Row],[Formula Age]],")")</f>
        <v>if(${p_weight}&gt;0,if(${p_weight_age}&gt;=0 and ${p_weight_age}&lt;6,"1.00 (&lt;1/4 c.à.c)",if(${p_weight_age}&gt;=6 and ${p_weight_age}&lt;10,"1.25 (1/4 c.à.c)",if(${p_weight_age}&gt;=10 and ${p_weight_age}&lt;15,"2.00 (&lt;1/2 c.à.c)",if(${p_weight_age}&gt;=15 and ${p_weight_age}&lt;100,"2.5 (1/2 c.à.c)","--")))),if(${p_age}&gt;=2 and ${p_age}&lt;4,"1.00 (&lt;1/4 c.à.c)",if(${p_age}&gt;=4 and ${p_age}&lt;12,"1.25 (1/4 c.à.c)",if(${p_age}&gt;=12 and ${p_age}&lt;36,"2.00 (&lt;1/2 c.à.c)",if(${p_age}&gt;=36 and ${p_age}&lt;61,"2.5 (1/2 c.à.c)","--")))))</v>
      </c>
      <c r="K88" s="2" t="str">
        <f>GenerateDrugString(Table2[[#This Row],[Min_weight_kg]],Table2[[#This Row],[Max_weight_kg]],Table2[[#This Row],[rate]],Table35[kg])</f>
        <v>1.00(&lt;1/4c.à.c) 1.00(&lt;1/4c.à.c) 1.00(&lt;1/4c.à.c) 1.00(&lt;1/4c.à.c) 1.00(&lt;1/4c.à.c) 1.00(&lt;1/4c.à.c)</v>
      </c>
      <c r="L88" s="2" t="str">
        <f>CONCATENATE(Table2[[#This Row],[drugStringLine]],IF(TRIM(Table2[[#This Row],[drugStringLine]])="",""," "),IF(Table2[[#This Row],[drug]]=A89,L89,""))</f>
        <v xml:space="preserve">1.00(&lt;1/4c.à.c) 1.00(&lt;1/4c.à.c) 1.00(&lt;1/4c.à.c) 1.00(&lt;1/4c.à.c) 1.00(&lt;1/4c.à.c) 1.00(&lt;1/4c.à.c) 1.25(1/4c.à.c) 1.25(1/4c.à.c) 1.25(1/4c.à.c) 1.25(1/4c.à.c) 1.25(1/4c.à.c) 2.00(&lt;1/2c.à.c) 2.00(&lt;1/2c.à.c) 2.00(&lt;1/2c.à.c) 2.00(&lt;1/2c.à.c) 2.5(1/2c.à.c) 2.5(1/2c.à.c) 2.5(1/2c.à.c) </v>
      </c>
    </row>
    <row r="89" spans="1:12">
      <c r="A89" t="s">
        <v>41</v>
      </c>
      <c r="B89" t="str">
        <f>IF(Table2[[#This Row],[drug]]&lt;&gt;A88,Table2[[#This Row],[drug]],"")</f>
        <v/>
      </c>
      <c r="C89">
        <v>6</v>
      </c>
      <c r="D89">
        <v>10</v>
      </c>
      <c r="E89">
        <v>4</v>
      </c>
      <c r="F89">
        <v>12</v>
      </c>
      <c r="G89" t="s">
        <v>10</v>
      </c>
      <c r="H89" s="2" t="str">
        <f>CONCATENATE("if(${p_weight_age}&gt;=",Table2[[#This Row],[Min_weight_kg]]," and ${p_weight_age}&lt;",Table2[[#This Row],[Max_weight_kg]],",""",Table2[[#This Row],[rate]],""",",IF(Table2[[#This Row],[drug]]=A90,H90,"""--"""),")")</f>
        <v>if(${p_weight_age}&gt;=6 and ${p_weight_age}&lt;10,"1.25 (1/4 c.à.c)",if(${p_weight_age}&gt;=10 and ${p_weight_age}&lt;15,"2.00 (&lt;1/2 c.à.c)",if(${p_weight_age}&gt;=15 and ${p_weight_age}&lt;100,"2.5 (1/2 c.à.c)","--")))</v>
      </c>
      <c r="I89" s="2" t="str">
        <f>CONCATENATE("if(${p_age}&gt;=",Table2[[#This Row],[Min_age_months]]," and ${p_age}&lt;",Table2[[#This Row],[Max_age_months]],",""",Table2[[#This Row],[rate]],""",",IF(Table2[[#This Row],[drug]]=A90,I90,"""--"""),")")</f>
        <v>if(${p_age}&gt;=4 and ${p_age}&lt;12,"1.25 (1/4 c.à.c)",if(${p_age}&gt;=12 and ${p_age}&lt;36,"2.00 (&lt;1/2 c.à.c)",if(${p_age}&gt;=36 and ${p_age}&lt;61,"2.5 (1/2 c.à.c)","--")))</v>
      </c>
      <c r="J89" s="2" t="str">
        <f>CONCATENATE("if(${p_weight}&gt;0,",Table2[[#This Row],[Formula weight]],",",Table2[[#This Row],[Formula Age]],")")</f>
        <v>if(${p_weight}&gt;0,if(${p_weight_age}&gt;=6 and ${p_weight_age}&lt;10,"1.25 (1/4 c.à.c)",if(${p_weight_age}&gt;=10 and ${p_weight_age}&lt;15,"2.00 (&lt;1/2 c.à.c)",if(${p_weight_age}&gt;=15 and ${p_weight_age}&lt;100,"2.5 (1/2 c.à.c)","--"))),if(${p_age}&gt;=4 and ${p_age}&lt;12,"1.25 (1/4 c.à.c)",if(${p_age}&gt;=12 and ${p_age}&lt;36,"2.00 (&lt;1/2 c.à.c)",if(${p_age}&gt;=36 and ${p_age}&lt;61,"2.5 (1/2 c.à.c)","--"))))</v>
      </c>
      <c r="K89" s="2" t="str">
        <f>GenerateDrugString(Table2[[#This Row],[Min_weight_kg]],Table2[[#This Row],[Max_weight_kg]],Table2[[#This Row],[rate]],Table35[kg])</f>
        <v>1.25(1/4c.à.c) 1.25(1/4c.à.c) 1.25(1/4c.à.c) 1.25(1/4c.à.c) 1.25(1/4c.à.c)</v>
      </c>
      <c r="L89" s="2" t="str">
        <f>CONCATENATE(Table2[[#This Row],[drugStringLine]],IF(TRIM(Table2[[#This Row],[drugStringLine]])="",""," "),IF(Table2[[#This Row],[drug]]=A90,L90,""))</f>
        <v xml:space="preserve">1.25(1/4c.à.c) 1.25(1/4c.à.c) 1.25(1/4c.à.c) 1.25(1/4c.à.c) 1.25(1/4c.à.c) 2.00(&lt;1/2c.à.c) 2.00(&lt;1/2c.à.c) 2.00(&lt;1/2c.à.c) 2.00(&lt;1/2c.à.c) 2.5(1/2c.à.c) 2.5(1/2c.à.c) 2.5(1/2c.à.c) </v>
      </c>
    </row>
    <row r="90" spans="1:12">
      <c r="A90" t="s">
        <v>41</v>
      </c>
      <c r="B90" t="str">
        <f>IF(Table2[[#This Row],[drug]]&lt;&gt;A89,Table2[[#This Row],[drug]],"")</f>
        <v/>
      </c>
      <c r="C90">
        <v>10</v>
      </c>
      <c r="D90">
        <v>15</v>
      </c>
      <c r="E90">
        <v>12</v>
      </c>
      <c r="F90">
        <v>36</v>
      </c>
      <c r="G90" t="s">
        <v>9</v>
      </c>
      <c r="H90" s="2" t="str">
        <f>CONCATENATE("if(${p_weight_age}&gt;=",Table2[[#This Row],[Min_weight_kg]]," and ${p_weight_age}&lt;",Table2[[#This Row],[Max_weight_kg]],",""",Table2[[#This Row],[rate]],""",",IF(Table2[[#This Row],[drug]]=A91,H91,"""--"""),")")</f>
        <v>if(${p_weight_age}&gt;=10 and ${p_weight_age}&lt;15,"2.00 (&lt;1/2 c.à.c)",if(${p_weight_age}&gt;=15 and ${p_weight_age}&lt;100,"2.5 (1/2 c.à.c)","--"))</v>
      </c>
      <c r="I90" s="2" t="str">
        <f>CONCATENATE("if(${p_age}&gt;=",Table2[[#This Row],[Min_age_months]]," and ${p_age}&lt;",Table2[[#This Row],[Max_age_months]],",""",Table2[[#This Row],[rate]],""",",IF(Table2[[#This Row],[drug]]=A91,I91,"""--"""),")")</f>
        <v>if(${p_age}&gt;=12 and ${p_age}&lt;36,"2.00 (&lt;1/2 c.à.c)",if(${p_age}&gt;=36 and ${p_age}&lt;61,"2.5 (1/2 c.à.c)","--"))</v>
      </c>
      <c r="J90" s="2" t="str">
        <f>CONCATENATE("if(${p_weight}&gt;0,",Table2[[#This Row],[Formula weight]],",",Table2[[#This Row],[Formula Age]],")")</f>
        <v>if(${p_weight}&gt;0,if(${p_weight_age}&gt;=10 and ${p_weight_age}&lt;15,"2.00 (&lt;1/2 c.à.c)",if(${p_weight_age}&gt;=15 and ${p_weight_age}&lt;100,"2.5 (1/2 c.à.c)","--")),if(${p_age}&gt;=12 and ${p_age}&lt;36,"2.00 (&lt;1/2 c.à.c)",if(${p_age}&gt;=36 and ${p_age}&lt;61,"2.5 (1/2 c.à.c)","--")))</v>
      </c>
      <c r="K90" s="2" t="str">
        <f>GenerateDrugString(Table2[[#This Row],[Min_weight_kg]],Table2[[#This Row],[Max_weight_kg]],Table2[[#This Row],[rate]],Table35[kg])</f>
        <v>2.00(&lt;1/2c.à.c) 2.00(&lt;1/2c.à.c) 2.00(&lt;1/2c.à.c) 2.00(&lt;1/2c.à.c)</v>
      </c>
      <c r="L90" s="2" t="str">
        <f>CONCATENATE(Table2[[#This Row],[drugStringLine]],IF(TRIM(Table2[[#This Row],[drugStringLine]])="",""," "),IF(Table2[[#This Row],[drug]]=A91,L91,""))</f>
        <v xml:space="preserve">2.00(&lt;1/2c.à.c) 2.00(&lt;1/2c.à.c) 2.00(&lt;1/2c.à.c) 2.00(&lt;1/2c.à.c) 2.5(1/2c.à.c) 2.5(1/2c.à.c) 2.5(1/2c.à.c) </v>
      </c>
    </row>
    <row r="91" spans="1:12">
      <c r="A91" t="s">
        <v>41</v>
      </c>
      <c r="B91" t="str">
        <f>IF(Table2[[#This Row],[drug]]&lt;&gt;A90,Table2[[#This Row],[drug]],"")</f>
        <v/>
      </c>
      <c r="C91">
        <v>15</v>
      </c>
      <c r="D91">
        <v>100</v>
      </c>
      <c r="E91">
        <v>36</v>
      </c>
      <c r="F91">
        <v>61</v>
      </c>
      <c r="G91" t="s">
        <v>8</v>
      </c>
      <c r="H91" s="2" t="str">
        <f>CONCATENATE("if(${p_weight_age}&gt;=",Table2[[#This Row],[Min_weight_kg]]," and ${p_weight_age}&lt;",Table2[[#This Row],[Max_weight_kg]],",""",Table2[[#This Row],[rate]],""",",IF(Table2[[#This Row],[drug]]=A92,H92,"""--"""),")")</f>
        <v>if(${p_weight_age}&gt;=15 and ${p_weight_age}&lt;100,"2.5 (1/2 c.à.c)","--")</v>
      </c>
      <c r="I91" s="2" t="str">
        <f>CONCATENATE("if(${p_age}&gt;=",Table2[[#This Row],[Min_age_months]]," and ${p_age}&lt;",Table2[[#This Row],[Max_age_months]],",""",Table2[[#This Row],[rate]],""",",IF(Table2[[#This Row],[drug]]=A92,I92,"""--"""),")")</f>
        <v>if(${p_age}&gt;=36 and ${p_age}&lt;61,"2.5 (1/2 c.à.c)","--")</v>
      </c>
      <c r="J91" s="2" t="str">
        <f>CONCATENATE("if(${p_weight}&gt;0,",Table2[[#This Row],[Formula weight]],",",Table2[[#This Row],[Formula Age]],")")</f>
        <v>if(${p_weight}&gt;0,if(${p_weight_age}&gt;=15 and ${p_weight_age}&lt;100,"2.5 (1/2 c.à.c)","--"),if(${p_age}&gt;=36 and ${p_age}&lt;61,"2.5 (1/2 c.à.c)","--"))</v>
      </c>
      <c r="K91" s="2" t="str">
        <f>GenerateDrugString(Table2[[#This Row],[Min_weight_kg]],Table2[[#This Row],[Max_weight_kg]],Table2[[#This Row],[rate]],Table35[kg])</f>
        <v>2.5(1/2c.à.c) 2.5(1/2c.à.c) 2.5(1/2c.à.c)</v>
      </c>
      <c r="L91" s="2" t="str">
        <f>CONCATENATE(Table2[[#This Row],[drugStringLine]],IF(TRIM(Table2[[#This Row],[drugStringLine]])="",""," "),IF(Table2[[#This Row],[drug]]=A92,L92,""))</f>
        <v xml:space="preserve">2.5(1/2c.à.c) 2.5(1/2c.à.c) 2.5(1/2c.à.c) </v>
      </c>
    </row>
    <row r="92" spans="1:12">
      <c r="A92" t="s">
        <v>42</v>
      </c>
      <c r="B92" t="str">
        <f>IF(Table2[[#This Row],[drug]]&lt;&gt;A91,Table2[[#This Row],[drug]],"")</f>
        <v>iron_tab</v>
      </c>
      <c r="C92">
        <v>0</v>
      </c>
      <c r="D92">
        <v>10</v>
      </c>
      <c r="E92">
        <v>0</v>
      </c>
      <c r="F92">
        <v>12</v>
      </c>
      <c r="G92">
        <v>0</v>
      </c>
      <c r="H92" s="2" t="str">
        <f>CONCATENATE("if(${p_weight_age}&gt;=",Table2[[#This Row],[Min_weight_kg]]," and ${p_weight_age}&lt;",Table2[[#This Row],[Max_weight_kg]],",""",Table2[[#This Row],[rate]],""",",IF(Table2[[#This Row],[drug]]=A93,H93,"""--"""),")")</f>
        <v>if(${p_weight_age}&gt;=0 and ${p_weight_age}&lt;10,"0",if(${p_weight_age}&gt;=10 and ${p_weight_age}&lt;15,"1/2",if(${p_weight_age}&gt;=15 and ${p_weight_age}&lt;100,"1/2","--")))</v>
      </c>
      <c r="I92" s="2" t="str">
        <f>CONCATENATE("if(${p_age}&gt;=",Table2[[#This Row],[Min_age_months]]," and ${p_age}&lt;",Table2[[#This Row],[Max_age_months]],",""",Table2[[#This Row],[rate]],""",",IF(Table2[[#This Row],[drug]]=A93,I93,"""--"""),")")</f>
        <v>if(${p_age}&gt;=0 and ${p_age}&lt;12,"0",if(${p_age}&gt;=12 and ${p_age}&lt;36,"1/2",if(${p_age}&gt;=36 and ${p_age}&lt;61,"1/2","--")))</v>
      </c>
      <c r="J92" s="2" t="str">
        <f>CONCATENATE("if(${p_weight}&gt;0,",Table2[[#This Row],[Formula weight]],",",Table2[[#This Row],[Formula Age]],")")</f>
        <v>if(${p_weight}&gt;0,if(${p_weight_age}&gt;=0 and ${p_weight_age}&lt;10,"0",if(${p_weight_age}&gt;=10 and ${p_weight_age}&lt;15,"1/2",if(${p_weight_age}&gt;=15 and ${p_weight_age}&lt;100,"1/2","--"))),if(${p_age}&gt;=0 and ${p_age}&lt;12,"0",if(${p_age}&gt;=12 and ${p_age}&lt;36,"1/2",if(${p_age}&gt;=36 and ${p_age}&lt;61,"1/2","--"))))</v>
      </c>
      <c r="K92" s="2" t="str">
        <f>GenerateDrugString(Table2[[#This Row],[Min_weight_kg]],Table2[[#This Row],[Max_weight_kg]],Table2[[#This Row],[rate]],Table35[kg])</f>
        <v>0 0 0 0 0 0 0 0 0 0 0</v>
      </c>
      <c r="L92" s="2" t="str">
        <f>CONCATENATE(Table2[[#This Row],[drugStringLine]],IF(TRIM(Table2[[#This Row],[drugStringLine]])="",""," "),IF(Table2[[#This Row],[drug]]=A93,L93,""))</f>
        <v xml:space="preserve">0 0 0 0 0 0 0 0 0 0 0 1/2 1/2 1/2 1/2 1/2 1/2 1/2 </v>
      </c>
    </row>
    <row r="93" spans="1:12">
      <c r="A93" t="s">
        <v>42</v>
      </c>
      <c r="B93" t="str">
        <f>IF(Table2[[#This Row],[drug]]&lt;&gt;A92,Table2[[#This Row],[drug]],"")</f>
        <v/>
      </c>
      <c r="C93">
        <v>10</v>
      </c>
      <c r="D93">
        <v>15</v>
      </c>
      <c r="E93">
        <v>12</v>
      </c>
      <c r="F93">
        <v>36</v>
      </c>
      <c r="G93" t="s">
        <v>5</v>
      </c>
      <c r="H93" s="2" t="str">
        <f>CONCATENATE("if(${p_weight_age}&gt;=",Table2[[#This Row],[Min_weight_kg]]," and ${p_weight_age}&lt;",Table2[[#This Row],[Max_weight_kg]],",""",Table2[[#This Row],[rate]],""",",IF(Table2[[#This Row],[drug]]=A94,H94,"""--"""),")")</f>
        <v>if(${p_weight_age}&gt;=10 and ${p_weight_age}&lt;15,"1/2",if(${p_weight_age}&gt;=15 and ${p_weight_age}&lt;100,"1/2","--"))</v>
      </c>
      <c r="I93" s="2" t="str">
        <f>CONCATENATE("if(${p_age}&gt;=",Table2[[#This Row],[Min_age_months]]," and ${p_age}&lt;",Table2[[#This Row],[Max_age_months]],",""",Table2[[#This Row],[rate]],""",",IF(Table2[[#This Row],[drug]]=A94,I94,"""--"""),")")</f>
        <v>if(${p_age}&gt;=12 and ${p_age}&lt;36,"1/2",if(${p_age}&gt;=36 and ${p_age}&lt;61,"1/2","--"))</v>
      </c>
      <c r="J93" s="2" t="str">
        <f>CONCATENATE("if(${p_weight}&gt;0,",Table2[[#This Row],[Formula weight]],",",Table2[[#This Row],[Formula Age]],")")</f>
        <v>if(${p_weight}&gt;0,if(${p_weight_age}&gt;=10 and ${p_weight_age}&lt;15,"1/2",if(${p_weight_age}&gt;=15 and ${p_weight_age}&lt;100,"1/2","--")),if(${p_age}&gt;=12 and ${p_age}&lt;36,"1/2",if(${p_age}&gt;=36 and ${p_age}&lt;61,"1/2","--")))</v>
      </c>
      <c r="K93" s="2" t="str">
        <f>GenerateDrugString(Table2[[#This Row],[Min_weight_kg]],Table2[[#This Row],[Max_weight_kg]],Table2[[#This Row],[rate]],Table35[kg])</f>
        <v>1/2 1/2 1/2 1/2</v>
      </c>
      <c r="L93" s="2" t="str">
        <f>CONCATENATE(Table2[[#This Row],[drugStringLine]],IF(TRIM(Table2[[#This Row],[drugStringLine]])="",""," "),IF(Table2[[#This Row],[drug]]=A94,L94,""))</f>
        <v xml:space="preserve">1/2 1/2 1/2 1/2 1/2 1/2 1/2 </v>
      </c>
    </row>
    <row r="94" spans="1:12">
      <c r="A94" t="s">
        <v>42</v>
      </c>
      <c r="B94" t="str">
        <f>IF(Table2[[#This Row],[drug]]&lt;&gt;A93,Table2[[#This Row],[drug]],"")</f>
        <v/>
      </c>
      <c r="C94">
        <v>15</v>
      </c>
      <c r="D94">
        <v>100</v>
      </c>
      <c r="E94">
        <v>36</v>
      </c>
      <c r="F94">
        <v>61</v>
      </c>
      <c r="G94" t="s">
        <v>5</v>
      </c>
      <c r="H94" s="2" t="str">
        <f>CONCATENATE("if(${p_weight_age}&gt;=",Table2[[#This Row],[Min_weight_kg]]," and ${p_weight_age}&lt;",Table2[[#This Row],[Max_weight_kg]],",""",Table2[[#This Row],[rate]],""",",IF(Table2[[#This Row],[drug]]=A95,H95,"""--"""),")")</f>
        <v>if(${p_weight_age}&gt;=15 and ${p_weight_age}&lt;100,"1/2","--")</v>
      </c>
      <c r="I94" s="2" t="str">
        <f>CONCATENATE("if(${p_age}&gt;=",Table2[[#This Row],[Min_age_months]]," and ${p_age}&lt;",Table2[[#This Row],[Max_age_months]],",""",Table2[[#This Row],[rate]],""",",IF(Table2[[#This Row],[drug]]=A95,I95,"""--"""),")")</f>
        <v>if(${p_age}&gt;=36 and ${p_age}&lt;61,"1/2","--")</v>
      </c>
      <c r="J94" s="2" t="str">
        <f>CONCATENATE("if(${p_weight}&gt;0,",Table2[[#This Row],[Formula weight]],",",Table2[[#This Row],[Formula Age]],")")</f>
        <v>if(${p_weight}&gt;0,if(${p_weight_age}&gt;=15 and ${p_weight_age}&lt;100,"1/2","--"),if(${p_age}&gt;=36 and ${p_age}&lt;61,"1/2","--"))</v>
      </c>
      <c r="K94" s="2" t="str">
        <f>GenerateDrugString(Table2[[#This Row],[Min_weight_kg]],Table2[[#This Row],[Max_weight_kg]],Table2[[#This Row],[rate]],Table35[kg])</f>
        <v>1/2 1/2 1/2</v>
      </c>
      <c r="L94" s="2" t="str">
        <f>CONCATENATE(Table2[[#This Row],[drugStringLine]],IF(TRIM(Table2[[#This Row],[drugStringLine]])="",""," "),IF(Table2[[#This Row],[drug]]=A95,L95,""))</f>
        <v xml:space="preserve">1/2 1/2 1/2 </v>
      </c>
    </row>
    <row r="95" spans="1:12">
      <c r="A95" t="s">
        <v>44</v>
      </c>
      <c r="B95" t="str">
        <f>IF(Table2[[#This Row],[drug]]&lt;&gt;A94,Table2[[#This Row],[drug]],"")</f>
        <v>quinine_iv_ml</v>
      </c>
      <c r="C95">
        <v>0</v>
      </c>
      <c r="D95">
        <v>3</v>
      </c>
      <c r="E95">
        <v>2</v>
      </c>
      <c r="F95">
        <v>4</v>
      </c>
      <c r="G95">
        <v>0</v>
      </c>
      <c r="H95" s="2" t="str">
        <f>CONCATENATE("if(${p_weight_age}&gt;=",Table2[[#This Row],[Min_weight_kg]]," and ${p_weight_age}&lt;",Table2[[#This Row],[Max_weight_kg]],",""",Table2[[#This Row],[rate]],""",",IF(Table2[[#This Row],[drug]]=A96,H96,"""--"""),")")</f>
        <v>if(${p_weight_age}&gt;=0 and ${p_weight_age}&lt;3,"0",if(${p_weight_age}&gt;=3 and ${p_weight_age}&lt;6,"2",if(${p_weight_age}&gt;=6 and ${p_weight_age}&lt;10,"3",if(${p_weight_age}&gt;=10 and ${p_weight_age}&lt;12,"4",if(${p_weight_age}&gt;=12 and ${p_weight_age}&lt;14,"5",if(${p_weight_age}&gt;=14 and ${p_weight_age}&lt;20,"6",if(${p_weight_age}&gt;=20 and ${p_weight_age}&lt;100,"10","--")))))))</v>
      </c>
      <c r="I95" s="2" t="str">
        <f>CONCATENATE("if(${p_age}&gt;=",Table2[[#This Row],[Min_age_months]]," and ${p_age}&lt;",Table2[[#This Row],[Max_age_months]],",""",Table2[[#This Row],[rate]],""",",IF(Table2[[#This Row],[drug]]=A96,I96,"""--"""),")")</f>
        <v>if(${p_age}&gt;=2 and ${p_age}&lt;4,"0",if(${p_age}&gt;=2 and ${p_age}&lt;4,"2",if(${p_age}&gt;=4 and ${p_age}&lt;12,"3",if(${p_age}&gt;=12 and ${p_age}&lt;24,"4",if(${p_age}&gt;=24 and ${p_age}&lt;36,"5",if(${p_age}&gt;=36 and ${p_age}&lt;60,"6",if(${p_age}&gt;=60 and ${p_age}&lt;108,"10","--")))))))</v>
      </c>
      <c r="J95" s="2" t="str">
        <f>CONCATENATE("if(${p_weight}&gt;0,",Table2[[#This Row],[Formula weight]],",",Table2[[#This Row],[Formula Age]],")")</f>
        <v>if(${p_weight}&gt;0,if(${p_weight_age}&gt;=0 and ${p_weight_age}&lt;3,"0",if(${p_weight_age}&gt;=3 and ${p_weight_age}&lt;6,"2",if(${p_weight_age}&gt;=6 and ${p_weight_age}&lt;10,"3",if(${p_weight_age}&gt;=10 and ${p_weight_age}&lt;12,"4",if(${p_weight_age}&gt;=12 and ${p_weight_age}&lt;14,"5",if(${p_weight_age}&gt;=14 and ${p_weight_age}&lt;20,"6",if(${p_weight_age}&gt;=20 and ${p_weight_age}&lt;100,"10","--"))))))),if(${p_age}&gt;=2 and ${p_age}&lt;4,"0",if(${p_age}&gt;=2 and ${p_age}&lt;4,"2",if(${p_age}&gt;=4 and ${p_age}&lt;12,"3",if(${p_age}&gt;=12 and ${p_age}&lt;24,"4",if(${p_age}&gt;=24 and ${p_age}&lt;36,"5",if(${p_age}&gt;=36 and ${p_age}&lt;60,"6",if(${p_age}&gt;=60 and ${p_age}&lt;108,"10","--"))))))))</v>
      </c>
      <c r="K95" s="2" t="str">
        <f>GenerateDrugString(Table2[[#This Row],[Min_weight_kg]],Table2[[#This Row],[Max_weight_kg]],Table2[[#This Row],[rate]],Table35[kg])</f>
        <v>0</v>
      </c>
      <c r="L95" s="2" t="str">
        <f>CONCATENATE(Table2[[#This Row],[drugStringLine]],IF(TRIM(Table2[[#This Row],[drugStringLine]])="",""," "),IF(Table2[[#This Row],[drug]]=A96,L96,""))</f>
        <v xml:space="preserve">0 2 2 2 2 2 3 3 3 3 3 4 4 5 6 6 10 10 </v>
      </c>
    </row>
    <row r="96" spans="1:12">
      <c r="A96" t="s">
        <v>44</v>
      </c>
      <c r="B96" t="str">
        <f>IF(Table2[[#This Row],[drug]]&lt;&gt;A95,Table2[[#This Row],[drug]],"")</f>
        <v/>
      </c>
      <c r="C96">
        <v>3</v>
      </c>
      <c r="D96">
        <v>6</v>
      </c>
      <c r="E96">
        <v>2</v>
      </c>
      <c r="F96">
        <v>4</v>
      </c>
      <c r="G96">
        <v>2</v>
      </c>
      <c r="H96" s="2" t="str">
        <f>CONCATENATE("if(${p_weight_age}&gt;=",Table2[[#This Row],[Min_weight_kg]]," and ${p_weight_age}&lt;",Table2[[#This Row],[Max_weight_kg]],",""",Table2[[#This Row],[rate]],""",",IF(Table2[[#This Row],[drug]]=A97,H97,"""--"""),")")</f>
        <v>if(${p_weight_age}&gt;=3 and ${p_weight_age}&lt;6,"2",if(${p_weight_age}&gt;=6 and ${p_weight_age}&lt;10,"3",if(${p_weight_age}&gt;=10 and ${p_weight_age}&lt;12,"4",if(${p_weight_age}&gt;=12 and ${p_weight_age}&lt;14,"5",if(${p_weight_age}&gt;=14 and ${p_weight_age}&lt;20,"6",if(${p_weight_age}&gt;=20 and ${p_weight_age}&lt;100,"10","--"))))))</v>
      </c>
      <c r="I96" s="2" t="str">
        <f>CONCATENATE("if(${p_age}&gt;=",Table2[[#This Row],[Min_age_months]]," and ${p_age}&lt;",Table2[[#This Row],[Max_age_months]],",""",Table2[[#This Row],[rate]],""",",IF(Table2[[#This Row],[drug]]=A97,I97,"""--"""),")")</f>
        <v>if(${p_age}&gt;=2 and ${p_age}&lt;4,"2",if(${p_age}&gt;=4 and ${p_age}&lt;12,"3",if(${p_age}&gt;=12 and ${p_age}&lt;24,"4",if(${p_age}&gt;=24 and ${p_age}&lt;36,"5",if(${p_age}&gt;=36 and ${p_age}&lt;60,"6",if(${p_age}&gt;=60 and ${p_age}&lt;108,"10","--"))))))</v>
      </c>
      <c r="J96" s="2" t="str">
        <f>CONCATENATE("if(${p_weight}&gt;0,",Table2[[#This Row],[Formula weight]],",",Table2[[#This Row],[Formula Age]],")")</f>
        <v>if(${p_weight}&gt;0,if(${p_weight_age}&gt;=3 and ${p_weight_age}&lt;6,"2",if(${p_weight_age}&gt;=6 and ${p_weight_age}&lt;10,"3",if(${p_weight_age}&gt;=10 and ${p_weight_age}&lt;12,"4",if(${p_weight_age}&gt;=12 and ${p_weight_age}&lt;14,"5",if(${p_weight_age}&gt;=14 and ${p_weight_age}&lt;20,"6",if(${p_weight_age}&gt;=20 and ${p_weight_age}&lt;100,"10","--")))))),if(${p_age}&gt;=2 and ${p_age}&lt;4,"2",if(${p_age}&gt;=4 and ${p_age}&lt;12,"3",if(${p_age}&gt;=12 and ${p_age}&lt;24,"4",if(${p_age}&gt;=24 and ${p_age}&lt;36,"5",if(${p_age}&gt;=36 and ${p_age}&lt;60,"6",if(${p_age}&gt;=60 and ${p_age}&lt;108,"10","--")))))))</v>
      </c>
      <c r="K96" s="2" t="str">
        <f>GenerateDrugString(Table2[[#This Row],[Min_weight_kg]],Table2[[#This Row],[Max_weight_kg]],Table2[[#This Row],[rate]],Table35[kg])</f>
        <v>2 2 2 2 2</v>
      </c>
      <c r="L96" s="2" t="str">
        <f>CONCATENATE(Table2[[#This Row],[drugStringLine]],IF(TRIM(Table2[[#This Row],[drugStringLine]])="",""," "),IF(Table2[[#This Row],[drug]]=A97,L97,""))</f>
        <v xml:space="preserve">2 2 2 2 2 3 3 3 3 3 4 4 5 6 6 10 10 </v>
      </c>
    </row>
    <row r="97" spans="1:12">
      <c r="A97" t="s">
        <v>44</v>
      </c>
      <c r="B97" t="str">
        <f>IF(Table2[[#This Row],[drug]]&lt;&gt;A96,Table2[[#This Row],[drug]],"")</f>
        <v/>
      </c>
      <c r="C97">
        <v>6</v>
      </c>
      <c r="D97">
        <v>10</v>
      </c>
      <c r="E97">
        <v>4</v>
      </c>
      <c r="F97">
        <v>12</v>
      </c>
      <c r="G97">
        <v>3</v>
      </c>
      <c r="H97" s="2" t="str">
        <f>CONCATENATE("if(${p_weight_age}&gt;=",Table2[[#This Row],[Min_weight_kg]]," and ${p_weight_age}&lt;",Table2[[#This Row],[Max_weight_kg]],",""",Table2[[#This Row],[rate]],""",",IF(Table2[[#This Row],[drug]]=A98,H98,"""--"""),")")</f>
        <v>if(${p_weight_age}&gt;=6 and ${p_weight_age}&lt;10,"3",if(${p_weight_age}&gt;=10 and ${p_weight_age}&lt;12,"4",if(${p_weight_age}&gt;=12 and ${p_weight_age}&lt;14,"5",if(${p_weight_age}&gt;=14 and ${p_weight_age}&lt;20,"6",if(${p_weight_age}&gt;=20 and ${p_weight_age}&lt;100,"10","--")))))</v>
      </c>
      <c r="I97" s="2" t="str">
        <f>CONCATENATE("if(${p_age}&gt;=",Table2[[#This Row],[Min_age_months]]," and ${p_age}&lt;",Table2[[#This Row],[Max_age_months]],",""",Table2[[#This Row],[rate]],""",",IF(Table2[[#This Row],[drug]]=A98,I98,"""--"""),")")</f>
        <v>if(${p_age}&gt;=4 and ${p_age}&lt;12,"3",if(${p_age}&gt;=12 and ${p_age}&lt;24,"4",if(${p_age}&gt;=24 and ${p_age}&lt;36,"5",if(${p_age}&gt;=36 and ${p_age}&lt;60,"6",if(${p_age}&gt;=60 and ${p_age}&lt;108,"10","--")))))</v>
      </c>
      <c r="J97" s="2" t="str">
        <f>CONCATENATE("if(${p_weight}&gt;0,",Table2[[#This Row],[Formula weight]],",",Table2[[#This Row],[Formula Age]],")")</f>
        <v>if(${p_weight}&gt;0,if(${p_weight_age}&gt;=6 and ${p_weight_age}&lt;10,"3",if(${p_weight_age}&gt;=10 and ${p_weight_age}&lt;12,"4",if(${p_weight_age}&gt;=12 and ${p_weight_age}&lt;14,"5",if(${p_weight_age}&gt;=14 and ${p_weight_age}&lt;20,"6",if(${p_weight_age}&gt;=20 and ${p_weight_age}&lt;100,"10","--"))))),if(${p_age}&gt;=4 and ${p_age}&lt;12,"3",if(${p_age}&gt;=12 and ${p_age}&lt;24,"4",if(${p_age}&gt;=24 and ${p_age}&lt;36,"5",if(${p_age}&gt;=36 and ${p_age}&lt;60,"6",if(${p_age}&gt;=60 and ${p_age}&lt;108,"10","--"))))))</v>
      </c>
      <c r="K97" s="2" t="str">
        <f>GenerateDrugString(Table2[[#This Row],[Min_weight_kg]],Table2[[#This Row],[Max_weight_kg]],Table2[[#This Row],[rate]],Table35[kg])</f>
        <v>3 3 3 3 3</v>
      </c>
      <c r="L97" s="2" t="str">
        <f>CONCATENATE(Table2[[#This Row],[drugStringLine]],IF(TRIM(Table2[[#This Row],[drugStringLine]])="",""," "),IF(Table2[[#This Row],[drug]]=A98,L98,""))</f>
        <v xml:space="preserve">3 3 3 3 3 4 4 5 6 6 10 10 </v>
      </c>
    </row>
    <row r="98" spans="1:12">
      <c r="A98" t="s">
        <v>44</v>
      </c>
      <c r="B98" t="str">
        <f>IF(Table2[[#This Row],[drug]]&lt;&gt;A97,Table2[[#This Row],[drug]],"")</f>
        <v/>
      </c>
      <c r="C98">
        <v>10</v>
      </c>
      <c r="D98">
        <v>12</v>
      </c>
      <c r="E98">
        <v>12</v>
      </c>
      <c r="F98">
        <v>24</v>
      </c>
      <c r="G98">
        <v>4</v>
      </c>
      <c r="H98" s="2" t="str">
        <f>CONCATENATE("if(${p_weight_age}&gt;=",Table2[[#This Row],[Min_weight_kg]]," and ${p_weight_age}&lt;",Table2[[#This Row],[Max_weight_kg]],",""",Table2[[#This Row],[rate]],""",",IF(Table2[[#This Row],[drug]]=A99,H99,"""--"""),")")</f>
        <v>if(${p_weight_age}&gt;=10 and ${p_weight_age}&lt;12,"4",if(${p_weight_age}&gt;=12 and ${p_weight_age}&lt;14,"5",if(${p_weight_age}&gt;=14 and ${p_weight_age}&lt;20,"6",if(${p_weight_age}&gt;=20 and ${p_weight_age}&lt;100,"10","--"))))</v>
      </c>
      <c r="I98" s="2" t="str">
        <f>CONCATENATE("if(${p_age}&gt;=",Table2[[#This Row],[Min_age_months]]," and ${p_age}&lt;",Table2[[#This Row],[Max_age_months]],",""",Table2[[#This Row],[rate]],""",",IF(Table2[[#This Row],[drug]]=A99,I99,"""--"""),")")</f>
        <v>if(${p_age}&gt;=12 and ${p_age}&lt;24,"4",if(${p_age}&gt;=24 and ${p_age}&lt;36,"5",if(${p_age}&gt;=36 and ${p_age}&lt;60,"6",if(${p_age}&gt;=60 and ${p_age}&lt;108,"10","--"))))</v>
      </c>
      <c r="J98" s="2" t="str">
        <f>CONCATENATE("if(${p_weight}&gt;0,",Table2[[#This Row],[Formula weight]],",",Table2[[#This Row],[Formula Age]],")")</f>
        <v>if(${p_weight}&gt;0,if(${p_weight_age}&gt;=10 and ${p_weight_age}&lt;12,"4",if(${p_weight_age}&gt;=12 and ${p_weight_age}&lt;14,"5",if(${p_weight_age}&gt;=14 and ${p_weight_age}&lt;20,"6",if(${p_weight_age}&gt;=20 and ${p_weight_age}&lt;100,"10","--")))),if(${p_age}&gt;=12 and ${p_age}&lt;24,"4",if(${p_age}&gt;=24 and ${p_age}&lt;36,"5",if(${p_age}&gt;=36 and ${p_age}&lt;60,"6",if(${p_age}&gt;=60 and ${p_age}&lt;108,"10","--")))))</v>
      </c>
      <c r="K98" s="2" t="str">
        <f>GenerateDrugString(Table2[[#This Row],[Min_weight_kg]],Table2[[#This Row],[Max_weight_kg]],Table2[[#This Row],[rate]],Table35[kg])</f>
        <v>4 4</v>
      </c>
      <c r="L98" s="2" t="str">
        <f>CONCATENATE(Table2[[#This Row],[drugStringLine]],IF(TRIM(Table2[[#This Row],[drugStringLine]])="",""," "),IF(Table2[[#This Row],[drug]]=A99,L99,""))</f>
        <v xml:space="preserve">4 4 5 6 6 10 10 </v>
      </c>
    </row>
    <row r="99" spans="1:12">
      <c r="A99" t="s">
        <v>44</v>
      </c>
      <c r="B99" t="str">
        <f>IF(Table2[[#This Row],[drug]]&lt;&gt;A98,Table2[[#This Row],[drug]],"")</f>
        <v/>
      </c>
      <c r="C99">
        <v>12</v>
      </c>
      <c r="D99">
        <v>14</v>
      </c>
      <c r="E99">
        <v>24</v>
      </c>
      <c r="F99">
        <v>36</v>
      </c>
      <c r="G99">
        <v>5</v>
      </c>
      <c r="H99" s="2" t="str">
        <f>CONCATENATE("if(${p_weight_age}&gt;=",Table2[[#This Row],[Min_weight_kg]]," and ${p_weight_age}&lt;",Table2[[#This Row],[Max_weight_kg]],",""",Table2[[#This Row],[rate]],""",",IF(Table2[[#This Row],[drug]]=A100,H100,"""--"""),")")</f>
        <v>if(${p_weight_age}&gt;=12 and ${p_weight_age}&lt;14,"5",if(${p_weight_age}&gt;=14 and ${p_weight_age}&lt;20,"6",if(${p_weight_age}&gt;=20 and ${p_weight_age}&lt;100,"10","--")))</v>
      </c>
      <c r="I99" s="2" t="str">
        <f>CONCATENATE("if(${p_age}&gt;=",Table2[[#This Row],[Min_age_months]]," and ${p_age}&lt;",Table2[[#This Row],[Max_age_months]],",""",Table2[[#This Row],[rate]],""",",IF(Table2[[#This Row],[drug]]=A100,I100,"""--"""),")")</f>
        <v>if(${p_age}&gt;=24 and ${p_age}&lt;36,"5",if(${p_age}&gt;=36 and ${p_age}&lt;60,"6",if(${p_age}&gt;=60 and ${p_age}&lt;108,"10","--")))</v>
      </c>
      <c r="J99" s="2" t="str">
        <f>CONCATENATE("if(${p_weight}&gt;0,",Table2[[#This Row],[Formula weight]],",",Table2[[#This Row],[Formula Age]],")")</f>
        <v>if(${p_weight}&gt;0,if(${p_weight_age}&gt;=12 and ${p_weight_age}&lt;14,"5",if(${p_weight_age}&gt;=14 and ${p_weight_age}&lt;20,"6",if(${p_weight_age}&gt;=20 and ${p_weight_age}&lt;100,"10","--"))),if(${p_age}&gt;=24 and ${p_age}&lt;36,"5",if(${p_age}&gt;=36 and ${p_age}&lt;60,"6",if(${p_age}&gt;=60 and ${p_age}&lt;108,"10","--"))))</v>
      </c>
      <c r="K99" s="2" t="str">
        <f>GenerateDrugString(Table2[[#This Row],[Min_weight_kg]],Table2[[#This Row],[Max_weight_kg]],Table2[[#This Row],[rate]],Table35[kg])</f>
        <v>5</v>
      </c>
      <c r="L99" s="2" t="str">
        <f>CONCATENATE(Table2[[#This Row],[drugStringLine]],IF(TRIM(Table2[[#This Row],[drugStringLine]])="",""," "),IF(Table2[[#This Row],[drug]]=A100,L100,""))</f>
        <v xml:space="preserve">5 6 6 10 10 </v>
      </c>
    </row>
    <row r="100" spans="1:12">
      <c r="A100" t="s">
        <v>44</v>
      </c>
      <c r="B100" t="str">
        <f>IF(Table2[[#This Row],[drug]]&lt;&gt;A99,Table2[[#This Row],[drug]],"")</f>
        <v/>
      </c>
      <c r="C100">
        <v>14</v>
      </c>
      <c r="D100">
        <v>20</v>
      </c>
      <c r="E100">
        <v>36</v>
      </c>
      <c r="F100">
        <v>60</v>
      </c>
      <c r="G100">
        <v>6</v>
      </c>
      <c r="H100" s="2" t="str">
        <f>CONCATENATE("if(${p_weight_age}&gt;=",Table2[[#This Row],[Min_weight_kg]]," and ${p_weight_age}&lt;",Table2[[#This Row],[Max_weight_kg]],",""",Table2[[#This Row],[rate]],""",",IF(Table2[[#This Row],[drug]]=A101,H101,"""--"""),")")</f>
        <v>if(${p_weight_age}&gt;=14 and ${p_weight_age}&lt;20,"6",if(${p_weight_age}&gt;=20 and ${p_weight_age}&lt;100,"10","--"))</v>
      </c>
      <c r="I100" s="2" t="str">
        <f>CONCATENATE("if(${p_age}&gt;=",Table2[[#This Row],[Min_age_months]]," and ${p_age}&lt;",Table2[[#This Row],[Max_age_months]],",""",Table2[[#This Row],[rate]],""",",IF(Table2[[#This Row],[drug]]=A101,I101,"""--"""),")")</f>
        <v>if(${p_age}&gt;=36 and ${p_age}&lt;60,"6",if(${p_age}&gt;=60 and ${p_age}&lt;108,"10","--"))</v>
      </c>
      <c r="J100" s="2" t="str">
        <f>CONCATENATE("if(${p_weight}&gt;0,",Table2[[#This Row],[Formula weight]],",",Table2[[#This Row],[Formula Age]],")")</f>
        <v>if(${p_weight}&gt;0,if(${p_weight_age}&gt;=14 and ${p_weight_age}&lt;20,"6",if(${p_weight_age}&gt;=20 and ${p_weight_age}&lt;100,"10","--")),if(${p_age}&gt;=36 and ${p_age}&lt;60,"6",if(${p_age}&gt;=60 and ${p_age}&lt;108,"10","--")))</v>
      </c>
      <c r="K100" s="2" t="str">
        <f>GenerateDrugString(Table2[[#This Row],[Min_weight_kg]],Table2[[#This Row],[Max_weight_kg]],Table2[[#This Row],[rate]],Table35[kg])</f>
        <v>6 6</v>
      </c>
      <c r="L100" s="2" t="str">
        <f>CONCATENATE(Table2[[#This Row],[drugStringLine]],IF(TRIM(Table2[[#This Row],[drugStringLine]])="",""," "),IF(Table2[[#This Row],[drug]]=A101,L101,""))</f>
        <v xml:space="preserve">6 6 10 10 </v>
      </c>
    </row>
    <row r="101" spans="1:12">
      <c r="A101" t="s">
        <v>44</v>
      </c>
      <c r="B101" t="str">
        <f>IF(Table2[[#This Row],[drug]]&lt;&gt;A100,Table2[[#This Row],[drug]],"")</f>
        <v/>
      </c>
      <c r="C101">
        <v>20</v>
      </c>
      <c r="D101">
        <v>100</v>
      </c>
      <c r="E101">
        <v>60</v>
      </c>
      <c r="F101">
        <v>108</v>
      </c>
      <c r="G101">
        <v>10</v>
      </c>
      <c r="H101" s="2" t="str">
        <f>CONCATENATE("if(${p_weight_age}&gt;=",Table2[[#This Row],[Min_weight_kg]]," and ${p_weight_age}&lt;",Table2[[#This Row],[Max_weight_kg]],",""",Table2[[#This Row],[rate]],""",",IF(Table2[[#This Row],[drug]]=A102,H102,"""--"""),")")</f>
        <v>if(${p_weight_age}&gt;=20 and ${p_weight_age}&lt;100,"10","--")</v>
      </c>
      <c r="I101" s="2" t="str">
        <f>CONCATENATE("if(${p_age}&gt;=",Table2[[#This Row],[Min_age_months]]," and ${p_age}&lt;",Table2[[#This Row],[Max_age_months]],",""",Table2[[#This Row],[rate]],""",",IF(Table2[[#This Row],[drug]]=A102,I102,"""--"""),")")</f>
        <v>if(${p_age}&gt;=60 and ${p_age}&lt;108,"10","--")</v>
      </c>
      <c r="J101" s="2" t="str">
        <f>CONCATENATE("if(${p_weight}&gt;0,",Table2[[#This Row],[Formula weight]],",",Table2[[#This Row],[Formula Age]],")")</f>
        <v>if(${p_weight}&gt;0,if(${p_weight_age}&gt;=20 and ${p_weight_age}&lt;100,"10","--"),if(${p_age}&gt;=60 and ${p_age}&lt;108,"10","--"))</v>
      </c>
      <c r="K101" s="2" t="str">
        <f>GenerateDrugString(Table2[[#This Row],[Min_weight_kg]],Table2[[#This Row],[Max_weight_kg]],Table2[[#This Row],[rate]],Table35[kg])</f>
        <v>10 10</v>
      </c>
      <c r="L101" s="2" t="str">
        <f>CONCATENATE(Table2[[#This Row],[drugStringLine]],IF(TRIM(Table2[[#This Row],[drugStringLine]])="",""," "),IF(Table2[[#This Row],[drug]]=A102,L102,""))</f>
        <v xml:space="preserve">10 10 </v>
      </c>
    </row>
    <row r="102" spans="1:12">
      <c r="A102" t="s">
        <v>51</v>
      </c>
      <c r="B102" t="str">
        <f>IF(Table2[[#This Row],[drug]]&lt;&gt;A101,Table2[[#This Row],[drug]],"")</f>
        <v>artesunate_iv_ml</v>
      </c>
      <c r="C102">
        <v>0</v>
      </c>
      <c r="D102">
        <v>3</v>
      </c>
      <c r="G102">
        <v>0</v>
      </c>
      <c r="H102" s="2" t="str">
        <f>CONCATENATE("if(${p_weight_age}&gt;=",Table2[[#This Row],[Min_weight_kg]]," and ${p_weight_age}&lt;",Table2[[#This Row],[Max_weight_kg]],",""",Table2[[#This Row],[rate]],""",",IF(Table2[[#This Row],[drug]]=A103,H103,"""--"""),")")</f>
        <v>if(${p_weight_age}&gt;=0 and ${p_weight_age}&lt;3,"0",if(${p_weight_age}&gt;=3 and ${p_weight_age}&lt;6,"1.2",if(${p_weight_age}&gt;=6 and ${p_weight_age}&lt;10,"2.2",if(${p_weight_age}&gt;=10 and ${p_weight_age}&lt;12,"2.8",if(${p_weight_age}&gt;=12 and ${p_weight_age}&lt;15,"3.6",if(${p_weight_age}&gt;=15 and ${p_weight_age}&lt;100,"4.6","--"))))))</v>
      </c>
      <c r="I102" s="2" t="str">
        <f>CONCATENATE("if(${p_age}&gt;=",Table2[[#This Row],[Min_age_months]]," and ${p_age}&lt;",Table2[[#This Row],[Max_age_months]],",""",Table2[[#This Row],[rate]],""",",IF(Table2[[#This Row],[drug]]=A103,I103,"""--"""),")")</f>
        <v>if(${p_age}&gt;= and ${p_age}&lt;,"0",if(${p_age}&gt;= and ${p_age}&lt;,"1.2",if(${p_age}&gt;= and ${p_age}&lt;,"2.2",if(${p_age}&gt;= and ${p_age}&lt;,"2.8",if(${p_age}&gt;= and ${p_age}&lt;,"3.6",if(${p_age}&gt;= and ${p_age}&lt;,"4.6","--"))))))</v>
      </c>
      <c r="J102" s="2" t="str">
        <f>CONCATENATE("if(${p_weight}&gt;0,",Table2[[#This Row],[Formula weight]],",",Table2[[#This Row],[Formula Age]],")")</f>
        <v>if(${p_weight}&gt;0,if(${p_weight_age}&gt;=0 and ${p_weight_age}&lt;3,"0",if(${p_weight_age}&gt;=3 and ${p_weight_age}&lt;6,"1.2",if(${p_weight_age}&gt;=6 and ${p_weight_age}&lt;10,"2.2",if(${p_weight_age}&gt;=10 and ${p_weight_age}&lt;12,"2.8",if(${p_weight_age}&gt;=12 and ${p_weight_age}&lt;15,"3.6",if(${p_weight_age}&gt;=15 and ${p_weight_age}&lt;100,"4.6","--")))))),if(${p_age}&gt;= and ${p_age}&lt;,"0",if(${p_age}&gt;= and ${p_age}&lt;,"1.2",if(${p_age}&gt;= and ${p_age}&lt;,"2.2",if(${p_age}&gt;= and ${p_age}&lt;,"2.8",if(${p_age}&gt;= and ${p_age}&lt;,"3.6",if(${p_age}&gt;= and ${p_age}&lt;,"4.6","--")))))))</v>
      </c>
      <c r="K102" s="2" t="str">
        <f>GenerateDrugString(Table2[[#This Row],[Min_weight_kg]],Table2[[#This Row],[Max_weight_kg]],Table2[[#This Row],[rate]],Table35[kg])</f>
        <v>0</v>
      </c>
      <c r="L102" s="2" t="str">
        <f>CONCATENATE(Table2[[#This Row],[drugStringLine]],IF(TRIM(Table2[[#This Row],[drugStringLine]])="",""," "),IF(Table2[[#This Row],[drug]]=A103,L103,""))</f>
        <v xml:space="preserve">0 1.2 1.2 1.2 1.2 1.2 2.2 2.2 2.2 2.2 2.2 2.8 2.8 3.6 3.6 4.6 4.6 4.6 </v>
      </c>
    </row>
    <row r="103" spans="1:12">
      <c r="A103" t="s">
        <v>51</v>
      </c>
      <c r="B103" t="str">
        <f>IF(Table2[[#This Row],[drug]]&lt;&gt;A102,Table2[[#This Row],[drug]],"")</f>
        <v/>
      </c>
      <c r="C103">
        <v>3</v>
      </c>
      <c r="D103">
        <v>6</v>
      </c>
      <c r="G103">
        <v>1.2</v>
      </c>
      <c r="H103" s="2" t="str">
        <f>CONCATENATE("if(${p_weight_age}&gt;=",Table2[[#This Row],[Min_weight_kg]]," and ${p_weight_age}&lt;",Table2[[#This Row],[Max_weight_kg]],",""",Table2[[#This Row],[rate]],""",",IF(Table2[[#This Row],[drug]]=A104,H104,"""--"""),")")</f>
        <v>if(${p_weight_age}&gt;=3 and ${p_weight_age}&lt;6,"1.2",if(${p_weight_age}&gt;=6 and ${p_weight_age}&lt;10,"2.2",if(${p_weight_age}&gt;=10 and ${p_weight_age}&lt;12,"2.8",if(${p_weight_age}&gt;=12 and ${p_weight_age}&lt;15,"3.6",if(${p_weight_age}&gt;=15 and ${p_weight_age}&lt;100,"4.6","--")))))</v>
      </c>
      <c r="I103" s="2" t="str">
        <f>CONCATENATE("if(${p_age}&gt;=",Table2[[#This Row],[Min_age_months]]," and ${p_age}&lt;",Table2[[#This Row],[Max_age_months]],",""",Table2[[#This Row],[rate]],""",",IF(Table2[[#This Row],[drug]]=A104,I104,"""--"""),")")</f>
        <v>if(${p_age}&gt;= and ${p_age}&lt;,"1.2",if(${p_age}&gt;= and ${p_age}&lt;,"2.2",if(${p_age}&gt;= and ${p_age}&lt;,"2.8",if(${p_age}&gt;= and ${p_age}&lt;,"3.6",if(${p_age}&gt;= and ${p_age}&lt;,"4.6","--")))))</v>
      </c>
      <c r="J103" s="2" t="str">
        <f>CONCATENATE("if(${p_weight}&gt;0,",Table2[[#This Row],[Formula weight]],",",Table2[[#This Row],[Formula Age]],")")</f>
        <v>if(${p_weight}&gt;0,if(${p_weight_age}&gt;=3 and ${p_weight_age}&lt;6,"1.2",if(${p_weight_age}&gt;=6 and ${p_weight_age}&lt;10,"2.2",if(${p_weight_age}&gt;=10 and ${p_weight_age}&lt;12,"2.8",if(${p_weight_age}&gt;=12 and ${p_weight_age}&lt;15,"3.6",if(${p_weight_age}&gt;=15 and ${p_weight_age}&lt;100,"4.6","--"))))),if(${p_age}&gt;= and ${p_age}&lt;,"1.2",if(${p_age}&gt;= and ${p_age}&lt;,"2.2",if(${p_age}&gt;= and ${p_age}&lt;,"2.8",if(${p_age}&gt;= and ${p_age}&lt;,"3.6",if(${p_age}&gt;= and ${p_age}&lt;,"4.6","--"))))))</v>
      </c>
      <c r="K103" s="2" t="str">
        <f>GenerateDrugString(Table2[[#This Row],[Min_weight_kg]],Table2[[#This Row],[Max_weight_kg]],Table2[[#This Row],[rate]],Table35[kg])</f>
        <v>1.2 1.2 1.2 1.2 1.2</v>
      </c>
      <c r="L103" s="2" t="str">
        <f>CONCATENATE(Table2[[#This Row],[drugStringLine]],IF(TRIM(Table2[[#This Row],[drugStringLine]])="",""," "),IF(Table2[[#This Row],[drug]]=A104,L104,""))</f>
        <v xml:space="preserve">1.2 1.2 1.2 1.2 1.2 2.2 2.2 2.2 2.2 2.2 2.8 2.8 3.6 3.6 4.6 4.6 4.6 </v>
      </c>
    </row>
    <row r="104" spans="1:12">
      <c r="A104" t="s">
        <v>51</v>
      </c>
      <c r="B104" t="str">
        <f>IF(Table2[[#This Row],[drug]]&lt;&gt;A103,Table2[[#This Row],[drug]],"")</f>
        <v/>
      </c>
      <c r="C104">
        <v>6</v>
      </c>
      <c r="D104">
        <v>10</v>
      </c>
      <c r="G104">
        <v>2.2000000000000002</v>
      </c>
      <c r="H104" s="2" t="str">
        <f>CONCATENATE("if(${p_weight_age}&gt;=",Table2[[#This Row],[Min_weight_kg]]," and ${p_weight_age}&lt;",Table2[[#This Row],[Max_weight_kg]],",""",Table2[[#This Row],[rate]],""",",IF(Table2[[#This Row],[drug]]=A105,H105,"""--"""),")")</f>
        <v>if(${p_weight_age}&gt;=6 and ${p_weight_age}&lt;10,"2.2",if(${p_weight_age}&gt;=10 and ${p_weight_age}&lt;12,"2.8",if(${p_weight_age}&gt;=12 and ${p_weight_age}&lt;15,"3.6",if(${p_weight_age}&gt;=15 and ${p_weight_age}&lt;100,"4.6","--"))))</v>
      </c>
      <c r="I104" s="2" t="str">
        <f>CONCATENATE("if(${p_age}&gt;=",Table2[[#This Row],[Min_age_months]]," and ${p_age}&lt;",Table2[[#This Row],[Max_age_months]],",""",Table2[[#This Row],[rate]],""",",IF(Table2[[#This Row],[drug]]=A105,I105,"""--"""),")")</f>
        <v>if(${p_age}&gt;= and ${p_age}&lt;,"2.2",if(${p_age}&gt;= and ${p_age}&lt;,"2.8",if(${p_age}&gt;= and ${p_age}&lt;,"3.6",if(${p_age}&gt;= and ${p_age}&lt;,"4.6","--"))))</v>
      </c>
      <c r="J104" s="2" t="str">
        <f>CONCATENATE("if(${p_weight}&gt;0,",Table2[[#This Row],[Formula weight]],",",Table2[[#This Row],[Formula Age]],")")</f>
        <v>if(${p_weight}&gt;0,if(${p_weight_age}&gt;=6 and ${p_weight_age}&lt;10,"2.2",if(${p_weight_age}&gt;=10 and ${p_weight_age}&lt;12,"2.8",if(${p_weight_age}&gt;=12 and ${p_weight_age}&lt;15,"3.6",if(${p_weight_age}&gt;=15 and ${p_weight_age}&lt;100,"4.6","--")))),if(${p_age}&gt;= and ${p_age}&lt;,"2.2",if(${p_age}&gt;= and ${p_age}&lt;,"2.8",if(${p_age}&gt;= and ${p_age}&lt;,"3.6",if(${p_age}&gt;= and ${p_age}&lt;,"4.6","--")))))</v>
      </c>
      <c r="K104" s="2" t="str">
        <f>GenerateDrugString(Table2[[#This Row],[Min_weight_kg]],Table2[[#This Row],[Max_weight_kg]],Table2[[#This Row],[rate]],Table35[kg])</f>
        <v>2.2 2.2 2.2 2.2 2.2</v>
      </c>
      <c r="L104" s="2" t="str">
        <f>CONCATENATE(Table2[[#This Row],[drugStringLine]],IF(TRIM(Table2[[#This Row],[drugStringLine]])="",""," "),IF(Table2[[#This Row],[drug]]=A105,L105,""))</f>
        <v xml:space="preserve">2.2 2.2 2.2 2.2 2.2 2.8 2.8 3.6 3.6 4.6 4.6 4.6 </v>
      </c>
    </row>
    <row r="105" spans="1:12">
      <c r="A105" t="s">
        <v>51</v>
      </c>
      <c r="B105" t="str">
        <f>IF(Table2[[#This Row],[drug]]&lt;&gt;A104,Table2[[#This Row],[drug]],"")</f>
        <v/>
      </c>
      <c r="C105">
        <v>10</v>
      </c>
      <c r="D105">
        <v>12</v>
      </c>
      <c r="G105">
        <v>2.8</v>
      </c>
      <c r="H105" s="2" t="str">
        <f>CONCATENATE("if(${p_weight_age}&gt;=",Table2[[#This Row],[Min_weight_kg]]," and ${p_weight_age}&lt;",Table2[[#This Row],[Max_weight_kg]],",""",Table2[[#This Row],[rate]],""",",IF(Table2[[#This Row],[drug]]=A106,H106,"""--"""),")")</f>
        <v>if(${p_weight_age}&gt;=10 and ${p_weight_age}&lt;12,"2.8",if(${p_weight_age}&gt;=12 and ${p_weight_age}&lt;15,"3.6",if(${p_weight_age}&gt;=15 and ${p_weight_age}&lt;100,"4.6","--")))</v>
      </c>
      <c r="I105" s="2" t="str">
        <f>CONCATENATE("if(${p_age}&gt;=",Table2[[#This Row],[Min_age_months]]," and ${p_age}&lt;",Table2[[#This Row],[Max_age_months]],",""",Table2[[#This Row],[rate]],""",",IF(Table2[[#This Row],[drug]]=A106,I106,"""--"""),")")</f>
        <v>if(${p_age}&gt;= and ${p_age}&lt;,"2.8",if(${p_age}&gt;= and ${p_age}&lt;,"3.6",if(${p_age}&gt;= and ${p_age}&lt;,"4.6","--")))</v>
      </c>
      <c r="J105" s="2" t="str">
        <f>CONCATENATE("if(${p_weight}&gt;0,",Table2[[#This Row],[Formula weight]],",",Table2[[#This Row],[Formula Age]],")")</f>
        <v>if(${p_weight}&gt;0,if(${p_weight_age}&gt;=10 and ${p_weight_age}&lt;12,"2.8",if(${p_weight_age}&gt;=12 and ${p_weight_age}&lt;15,"3.6",if(${p_weight_age}&gt;=15 and ${p_weight_age}&lt;100,"4.6","--"))),if(${p_age}&gt;= and ${p_age}&lt;,"2.8",if(${p_age}&gt;= and ${p_age}&lt;,"3.6",if(${p_age}&gt;= and ${p_age}&lt;,"4.6","--"))))</v>
      </c>
      <c r="K105" s="2" t="str">
        <f>GenerateDrugString(Table2[[#This Row],[Min_weight_kg]],Table2[[#This Row],[Max_weight_kg]],Table2[[#This Row],[rate]],Table35[kg])</f>
        <v>2.8 2.8</v>
      </c>
      <c r="L105" s="2" t="str">
        <f>CONCATENATE(Table2[[#This Row],[drugStringLine]],IF(TRIM(Table2[[#This Row],[drugStringLine]])="",""," "),IF(Table2[[#This Row],[drug]]=A106,L106,""))</f>
        <v xml:space="preserve">2.8 2.8 3.6 3.6 4.6 4.6 4.6 </v>
      </c>
    </row>
    <row r="106" spans="1:12">
      <c r="A106" t="s">
        <v>51</v>
      </c>
      <c r="B106" t="str">
        <f>IF(Table2[[#This Row],[drug]]&lt;&gt;A105,Table2[[#This Row],[drug]],"")</f>
        <v/>
      </c>
      <c r="C106">
        <v>12</v>
      </c>
      <c r="D106">
        <v>15</v>
      </c>
      <c r="G106">
        <v>3.6</v>
      </c>
      <c r="H106" s="2" t="str">
        <f>CONCATENATE("if(${p_weight_age}&gt;=",Table2[[#This Row],[Min_weight_kg]]," and ${p_weight_age}&lt;",Table2[[#This Row],[Max_weight_kg]],",""",Table2[[#This Row],[rate]],""",",IF(Table2[[#This Row],[drug]]=A107,H107,"""--"""),")")</f>
        <v>if(${p_weight_age}&gt;=12 and ${p_weight_age}&lt;15,"3.6",if(${p_weight_age}&gt;=15 and ${p_weight_age}&lt;100,"4.6","--"))</v>
      </c>
      <c r="I106" s="2" t="str">
        <f>CONCATENATE("if(${p_age}&gt;=",Table2[[#This Row],[Min_age_months]]," and ${p_age}&lt;",Table2[[#This Row],[Max_age_months]],",""",Table2[[#This Row],[rate]],""",",IF(Table2[[#This Row],[drug]]=A107,I107,"""--"""),")")</f>
        <v>if(${p_age}&gt;= and ${p_age}&lt;,"3.6",if(${p_age}&gt;= and ${p_age}&lt;,"4.6","--"))</v>
      </c>
      <c r="J106" s="2" t="str">
        <f>CONCATENATE("if(${p_weight}&gt;0,",Table2[[#This Row],[Formula weight]],",",Table2[[#This Row],[Formula Age]],")")</f>
        <v>if(${p_weight}&gt;0,if(${p_weight_age}&gt;=12 and ${p_weight_age}&lt;15,"3.6",if(${p_weight_age}&gt;=15 and ${p_weight_age}&lt;100,"4.6","--")),if(${p_age}&gt;= and ${p_age}&lt;,"3.6",if(${p_age}&gt;= and ${p_age}&lt;,"4.6","--")))</v>
      </c>
      <c r="K106" s="2" t="str">
        <f>GenerateDrugString(Table2[[#This Row],[Min_weight_kg]],Table2[[#This Row],[Max_weight_kg]],Table2[[#This Row],[rate]],Table35[kg])</f>
        <v>3.6 3.6</v>
      </c>
      <c r="L106" s="2" t="str">
        <f>CONCATENATE(Table2[[#This Row],[drugStringLine]],IF(TRIM(Table2[[#This Row],[drugStringLine]])="",""," "),IF(Table2[[#This Row],[drug]]=A107,L107,""))</f>
        <v xml:space="preserve">3.6 3.6 4.6 4.6 4.6 </v>
      </c>
    </row>
    <row r="107" spans="1:12">
      <c r="A107" t="s">
        <v>51</v>
      </c>
      <c r="B107" t="str">
        <f>IF(Table2[[#This Row],[drug]]&lt;&gt;A106,Table2[[#This Row],[drug]],"")</f>
        <v/>
      </c>
      <c r="C107">
        <v>15</v>
      </c>
      <c r="D107">
        <v>100</v>
      </c>
      <c r="G107">
        <v>4.5999999999999996</v>
      </c>
      <c r="H107" s="2" t="str">
        <f>CONCATENATE("if(${p_weight_age}&gt;=",Table2[[#This Row],[Min_weight_kg]]," and ${p_weight_age}&lt;",Table2[[#This Row],[Max_weight_kg]],",""",Table2[[#This Row],[rate]],""",",IF(Table2[[#This Row],[drug]]=A108,H108,"""--"""),")")</f>
        <v>if(${p_weight_age}&gt;=15 and ${p_weight_age}&lt;100,"4.6","--")</v>
      </c>
      <c r="I107" s="2" t="str">
        <f>CONCATENATE("if(${p_age}&gt;=",Table2[[#This Row],[Min_age_months]]," and ${p_age}&lt;",Table2[[#This Row],[Max_age_months]],",""",Table2[[#This Row],[rate]],""",",IF(Table2[[#This Row],[drug]]=A108,I108,"""--"""),")")</f>
        <v>if(${p_age}&gt;= and ${p_age}&lt;,"4.6","--")</v>
      </c>
      <c r="J107" s="2" t="str">
        <f>CONCATENATE("if(${p_weight}&gt;0,",Table2[[#This Row],[Formula weight]],",",Table2[[#This Row],[Formula Age]],")")</f>
        <v>if(${p_weight}&gt;0,if(${p_weight_age}&gt;=15 and ${p_weight_age}&lt;100,"4.6","--"),if(${p_age}&gt;= and ${p_age}&lt;,"4.6","--"))</v>
      </c>
      <c r="K107" s="2" t="str">
        <f>GenerateDrugString(Table2[[#This Row],[Min_weight_kg]],Table2[[#This Row],[Max_weight_kg]],Table2[[#This Row],[rate]],Table35[kg])</f>
        <v>4.6 4.6 4.6</v>
      </c>
      <c r="L107" s="2" t="str">
        <f>CONCATENATE(Table2[[#This Row],[drugStringLine]],IF(TRIM(Table2[[#This Row],[drugStringLine]])="",""," "),IF(Table2[[#This Row],[drug]]=A108,L108,""))</f>
        <v xml:space="preserve">4.6 4.6 4.6 </v>
      </c>
    </row>
    <row r="108" spans="1:12">
      <c r="A108" t="s">
        <v>71</v>
      </c>
      <c r="B108" t="str">
        <f>IF(Table2[[#This Row],[drug]]&lt;&gt;A107,Table2[[#This Row],[drug]],"")</f>
        <v>artesunate_rectal_100</v>
      </c>
      <c r="C108">
        <v>0</v>
      </c>
      <c r="D108">
        <v>5</v>
      </c>
      <c r="G108">
        <v>0</v>
      </c>
      <c r="H108" s="2" t="str">
        <f>CONCATENATE("if(${p_weight_age}&gt;=",Table2[[#This Row],[Min_weight_kg]]," and ${p_weight_age}&lt;",Table2[[#This Row],[Max_weight_kg]],",""",Table2[[#This Row],[rate]],""",",IF(Table2[[#This Row],[drug]]=A109,H109,"""--"""),")")</f>
        <v>if(${p_weight_age}&gt;=0 and ${p_weight_age}&lt;5,"0",if(${p_weight_age}&gt;=5 and ${p_weight_age}&lt;15,"1",if(${p_weight_age}&gt;=15 and ${p_weight_age}&lt;100,"2","--")))</v>
      </c>
      <c r="I108" s="2" t="str">
        <f>CONCATENATE("if(${p_age}&gt;=",Table2[[#This Row],[Min_age_months]]," and ${p_age}&lt;",Table2[[#This Row],[Max_age_months]],",""",Table2[[#This Row],[rate]],""",",IF(Table2[[#This Row],[drug]]=A109,I109,"""--"""),")")</f>
        <v>if(${p_age}&gt;= and ${p_age}&lt;,"0",if(${p_age}&gt;= and ${p_age}&lt;,"1",if(${p_age}&gt;= and ${p_age}&lt;,"2","--")))</v>
      </c>
      <c r="J108" s="2" t="str">
        <f>CONCATENATE("if(${p_weight}&gt;0,",Table2[[#This Row],[Formula weight]],",",Table2[[#This Row],[Formula Age]],")")</f>
        <v>if(${p_weight}&gt;0,if(${p_weight_age}&gt;=0 and ${p_weight_age}&lt;5,"0",if(${p_weight_age}&gt;=5 and ${p_weight_age}&lt;15,"1",if(${p_weight_age}&gt;=15 and ${p_weight_age}&lt;100,"2","--"))),if(${p_age}&gt;= and ${p_age}&lt;,"0",if(${p_age}&gt;= and ${p_age}&lt;,"1",if(${p_age}&gt;= and ${p_age}&lt;,"2","--"))))</v>
      </c>
      <c r="K108" s="2" t="str">
        <f>GenerateDrugString(Table2[[#This Row],[Min_weight_kg]],Table2[[#This Row],[Max_weight_kg]],Table2[[#This Row],[rate]],Table35[kg])</f>
        <v>0 0 0 0 0</v>
      </c>
      <c r="L108" s="2" t="str">
        <f>CONCATENATE(Table2[[#This Row],[drugStringLine]],IF(TRIM(Table2[[#This Row],[drugStringLine]])="",""," "),IF(Table2[[#This Row],[drug]]=A109,L109,""))</f>
        <v xml:space="preserve">0 0 0 0 0 1 1 1 1 1 1 1 1 1 1 2 2 2 </v>
      </c>
    </row>
    <row r="109" spans="1:12">
      <c r="A109" t="s">
        <v>71</v>
      </c>
      <c r="B109" t="str">
        <f>IF(Table2[[#This Row],[drug]]&lt;&gt;A108,Table2[[#This Row],[drug]],"")</f>
        <v/>
      </c>
      <c r="C109">
        <v>5</v>
      </c>
      <c r="D109">
        <v>15</v>
      </c>
      <c r="G109">
        <v>1</v>
      </c>
      <c r="H109" s="2" t="str">
        <f>CONCATENATE("if(${p_weight_age}&gt;=",Table2[[#This Row],[Min_weight_kg]]," and ${p_weight_age}&lt;",Table2[[#This Row],[Max_weight_kg]],",""",Table2[[#This Row],[rate]],""",",IF(Table2[[#This Row],[drug]]=A110,H110,"""--"""),")")</f>
        <v>if(${p_weight_age}&gt;=5 and ${p_weight_age}&lt;15,"1",if(${p_weight_age}&gt;=15 and ${p_weight_age}&lt;100,"2","--"))</v>
      </c>
      <c r="I109" s="2" t="str">
        <f>CONCATENATE("if(${p_age}&gt;=",Table2[[#This Row],[Min_age_months]]," and ${p_age}&lt;",Table2[[#This Row],[Max_age_months]],",""",Table2[[#This Row],[rate]],""",",IF(Table2[[#This Row],[drug]]=A110,I110,"""--"""),")")</f>
        <v>if(${p_age}&gt;= and ${p_age}&lt;,"1",if(${p_age}&gt;= and ${p_age}&lt;,"2","--"))</v>
      </c>
      <c r="J109" s="2" t="str">
        <f>CONCATENATE("if(${p_weight}&gt;0,",Table2[[#This Row],[Formula weight]],",",Table2[[#This Row],[Formula Age]],")")</f>
        <v>if(${p_weight}&gt;0,if(${p_weight_age}&gt;=5 and ${p_weight_age}&lt;15,"1",if(${p_weight_age}&gt;=15 and ${p_weight_age}&lt;100,"2","--")),if(${p_age}&gt;= and ${p_age}&lt;,"1",if(${p_age}&gt;= and ${p_age}&lt;,"2","--")))</v>
      </c>
      <c r="K109" s="2" t="str">
        <f>GenerateDrugString(Table2[[#This Row],[Min_weight_kg]],Table2[[#This Row],[Max_weight_kg]],Table2[[#This Row],[rate]],Table35[kg])</f>
        <v>1 1 1 1 1 1 1 1 1 1</v>
      </c>
      <c r="L109" s="2" t="str">
        <f>CONCATENATE(Table2[[#This Row],[drugStringLine]],IF(TRIM(Table2[[#This Row],[drugStringLine]])="",""," "),IF(Table2[[#This Row],[drug]]=A110,L110,""))</f>
        <v xml:space="preserve">1 1 1 1 1 1 1 1 1 1 2 2 2 </v>
      </c>
    </row>
    <row r="110" spans="1:12">
      <c r="A110" t="s">
        <v>71</v>
      </c>
      <c r="B110" t="str">
        <f>IF(Table2[[#This Row],[drug]]&lt;&gt;A109,Table2[[#This Row],[drug]],"")</f>
        <v/>
      </c>
      <c r="C110">
        <v>15</v>
      </c>
      <c r="D110">
        <v>100</v>
      </c>
      <c r="G110">
        <v>2</v>
      </c>
      <c r="H110" s="2" t="str">
        <f>CONCATENATE("if(${p_weight_age}&gt;=",Table2[[#This Row],[Min_weight_kg]]," and ${p_weight_age}&lt;",Table2[[#This Row],[Max_weight_kg]],",""",Table2[[#This Row],[rate]],""",",IF(Table2[[#This Row],[drug]]=A111,H111,"""--"""),")")</f>
        <v>if(${p_weight_age}&gt;=15 and ${p_weight_age}&lt;100,"2","--")</v>
      </c>
      <c r="I110" s="2" t="str">
        <f>CONCATENATE("if(${p_age}&gt;=",Table2[[#This Row],[Min_age_months]]," and ${p_age}&lt;",Table2[[#This Row],[Max_age_months]],",""",Table2[[#This Row],[rate]],""",",IF(Table2[[#This Row],[drug]]=A111,I111,"""--"""),")")</f>
        <v>if(${p_age}&gt;= and ${p_age}&lt;,"2","--")</v>
      </c>
      <c r="J110" s="2" t="str">
        <f>CONCATENATE("if(${p_weight}&gt;0,",Table2[[#This Row],[Formula weight]],",",Table2[[#This Row],[Formula Age]],")")</f>
        <v>if(${p_weight}&gt;0,if(${p_weight_age}&gt;=15 and ${p_weight_age}&lt;100,"2","--"),if(${p_age}&gt;= and ${p_age}&lt;,"2","--"))</v>
      </c>
      <c r="K110" s="2" t="str">
        <f>GenerateDrugString(Table2[[#This Row],[Min_weight_kg]],Table2[[#This Row],[Max_weight_kg]],Table2[[#This Row],[rate]],Table35[kg])</f>
        <v>2 2 2</v>
      </c>
      <c r="L110" s="2" t="str">
        <f>CONCATENATE(Table2[[#This Row],[drugStringLine]],IF(TRIM(Table2[[#This Row],[drugStringLine]])="",""," "),IF(Table2[[#This Row],[drug]]=A111,L111,""))</f>
        <v xml:space="preserve">2 2 2 </v>
      </c>
    </row>
    <row r="111" spans="1:12">
      <c r="A111" t="s">
        <v>53</v>
      </c>
      <c r="B111" t="str">
        <f>IF(Table2[[#This Row],[drug]]&lt;&gt;A110,Table2[[#This Row],[drug]],"")</f>
        <v>as_100_aq_270_tab</v>
      </c>
      <c r="C111">
        <v>0</v>
      </c>
      <c r="D111">
        <v>4.5</v>
      </c>
      <c r="G111">
        <v>0</v>
      </c>
      <c r="H111" s="2" t="str">
        <f>CONCATENATE("if(${p_weight_age}&gt;=",Table2[[#This Row],[Min_weight_kg]]," and ${p_weight_age}&lt;",Table2[[#This Row],[Max_weight_kg]],",""",Table2[[#This Row],[rate]],""",",IF(Table2[[#This Row],[drug]]=A112,H112,"""--"""),")")</f>
        <v>if(${p_weight_age}&gt;=0 and ${p_weight_age}&lt;4.5,"0",if(${p_weight_age}&gt;=4.5 and ${p_weight_age}&lt;9,"0",if(${p_weight_age}&gt;=9 and ${p_weight_age}&lt;18,"0",if(${p_weight_age}&gt;=18 and ${p_weight_age}&lt;36,"1",if(${p_weight_age}&gt;=36 and ${p_weight_age}&lt;100,"2","--")))))</v>
      </c>
      <c r="I111" s="2" t="str">
        <f>CONCATENATE("if(${p_age}&gt;=",Table2[[#This Row],[Min_age_months]]," and ${p_age}&lt;",Table2[[#This Row],[Max_age_months]],",""",Table2[[#This Row],[rate]],""",",IF(Table2[[#This Row],[drug]]=A112,I112,"""--"""),")")</f>
        <v>if(${p_age}&gt;= and ${p_age}&lt;,"0",if(${p_age}&gt;= and ${p_age}&lt;,"0",if(${p_age}&gt;= and ${p_age}&lt;,"0",if(${p_age}&gt;= and ${p_age}&lt;,"1",if(${p_age}&gt;= and ${p_age}&lt;,"2","--")))))</v>
      </c>
      <c r="J111" s="2" t="str">
        <f>CONCATENATE("if(${p_weight}&gt;0,",Table2[[#This Row],[Formula weight]],",",Table2[[#This Row],[Formula Age]],")")</f>
        <v>if(${p_weight}&gt;0,if(${p_weight_age}&gt;=0 and ${p_weight_age}&lt;4.5,"0",if(${p_weight_age}&gt;=4.5 and ${p_weight_age}&lt;9,"0",if(${p_weight_age}&gt;=9 and ${p_weight_age}&lt;18,"0",if(${p_weight_age}&gt;=18 and ${p_weight_age}&lt;36,"1",if(${p_weight_age}&gt;=36 and ${p_weight_age}&lt;100,"2","--"))))),if(${p_age}&gt;= and ${p_age}&lt;,"0",if(${p_age}&gt;= and ${p_age}&lt;,"0",if(${p_age}&gt;= and ${p_age}&lt;,"0",if(${p_age}&gt;= and ${p_age}&lt;,"1",if(${p_age}&gt;= and ${p_age}&lt;,"2","--"))))))</v>
      </c>
      <c r="K111" s="2" t="str">
        <f>GenerateDrugString(Table2[[#This Row],[Min_weight_kg]],Table2[[#This Row],[Max_weight_kg]],Table2[[#This Row],[rate]],Table35[kg])</f>
        <v>0 0 0 0</v>
      </c>
      <c r="L111" s="2" t="str">
        <f>CONCATENATE(Table2[[#This Row],[drugStringLine]],IF(TRIM(Table2[[#This Row],[drugStringLine]])="",""," "),IF(Table2[[#This Row],[drug]]=A112,L112,""))</f>
        <v xml:space="preserve">0 0 0 0 0 0 0 0 0 0 0 0 0 0 0 0 1 2 </v>
      </c>
    </row>
    <row r="112" spans="1:12">
      <c r="A112" t="s">
        <v>53</v>
      </c>
      <c r="B112" t="str">
        <f>IF(Table2[[#This Row],[drug]]&lt;&gt;A111,Table2[[#This Row],[drug]],"")</f>
        <v/>
      </c>
      <c r="C112">
        <v>4.5</v>
      </c>
      <c r="D112">
        <v>9</v>
      </c>
      <c r="G112">
        <v>0</v>
      </c>
      <c r="H112" s="2" t="str">
        <f>CONCATENATE("if(${p_weight_age}&gt;=",Table2[[#This Row],[Min_weight_kg]]," and ${p_weight_age}&lt;",Table2[[#This Row],[Max_weight_kg]],",""",Table2[[#This Row],[rate]],""",",IF(Table2[[#This Row],[drug]]=A113,H113,"""--"""),")")</f>
        <v>if(${p_weight_age}&gt;=4.5 and ${p_weight_age}&lt;9,"0",if(${p_weight_age}&gt;=9 and ${p_weight_age}&lt;18,"0",if(${p_weight_age}&gt;=18 and ${p_weight_age}&lt;36,"1",if(${p_weight_age}&gt;=36 and ${p_weight_age}&lt;100,"2","--"))))</v>
      </c>
      <c r="I112" s="2" t="str">
        <f>CONCATENATE("if(${p_age}&gt;=",Table2[[#This Row],[Min_age_months]]," and ${p_age}&lt;",Table2[[#This Row],[Max_age_months]],",""",Table2[[#This Row],[rate]],""",",IF(Table2[[#This Row],[drug]]=A113,I113,"""--"""),")")</f>
        <v>if(${p_age}&gt;= and ${p_age}&lt;,"0",if(${p_age}&gt;= and ${p_age}&lt;,"0",if(${p_age}&gt;= and ${p_age}&lt;,"1",if(${p_age}&gt;= and ${p_age}&lt;,"2","--"))))</v>
      </c>
      <c r="J112" s="2" t="str">
        <f>CONCATENATE("if(${p_weight}&gt;0,",Table2[[#This Row],[Formula weight]],",",Table2[[#This Row],[Formula Age]],")")</f>
        <v>if(${p_weight}&gt;0,if(${p_weight_age}&gt;=4.5 and ${p_weight_age}&lt;9,"0",if(${p_weight_age}&gt;=9 and ${p_weight_age}&lt;18,"0",if(${p_weight_age}&gt;=18 and ${p_weight_age}&lt;36,"1",if(${p_weight_age}&gt;=36 and ${p_weight_age}&lt;100,"2","--")))),if(${p_age}&gt;= and ${p_age}&lt;,"0",if(${p_age}&gt;= and ${p_age}&lt;,"0",if(${p_age}&gt;= and ${p_age}&lt;,"1",if(${p_age}&gt;= and ${p_age}&lt;,"2","--")))))</v>
      </c>
      <c r="K112" s="2" t="str">
        <f>GenerateDrugString(Table2[[#This Row],[Min_weight_kg]],Table2[[#This Row],[Max_weight_kg]],Table2[[#This Row],[rate]],Table35[kg])</f>
        <v>0 0 0 0 0 0</v>
      </c>
      <c r="L112" s="2" t="str">
        <f>CONCATENATE(Table2[[#This Row],[drugStringLine]],IF(TRIM(Table2[[#This Row],[drugStringLine]])="",""," "),IF(Table2[[#This Row],[drug]]=A113,L113,""))</f>
        <v xml:space="preserve">0 0 0 0 0 0 0 0 0 0 0 0 1 2 </v>
      </c>
    </row>
    <row r="113" spans="1:12">
      <c r="A113" t="s">
        <v>53</v>
      </c>
      <c r="B113" t="str">
        <f>IF(Table2[[#This Row],[drug]]&lt;&gt;A112,Table2[[#This Row],[drug]],"")</f>
        <v/>
      </c>
      <c r="C113">
        <v>9</v>
      </c>
      <c r="D113">
        <v>18</v>
      </c>
      <c r="G113">
        <v>0</v>
      </c>
      <c r="H113" s="2" t="str">
        <f>CONCATENATE("if(${p_weight_age}&gt;=",Table2[[#This Row],[Min_weight_kg]]," and ${p_weight_age}&lt;",Table2[[#This Row],[Max_weight_kg]],",""",Table2[[#This Row],[rate]],""",",IF(Table2[[#This Row],[drug]]=A114,H114,"""--"""),")")</f>
        <v>if(${p_weight_age}&gt;=9 and ${p_weight_age}&lt;18,"0",if(${p_weight_age}&gt;=18 and ${p_weight_age}&lt;36,"1",if(${p_weight_age}&gt;=36 and ${p_weight_age}&lt;100,"2","--")))</v>
      </c>
      <c r="I113" s="2" t="str">
        <f>CONCATENATE("if(${p_age}&gt;=",Table2[[#This Row],[Min_age_months]]," and ${p_age}&lt;",Table2[[#This Row],[Max_age_months]],",""",Table2[[#This Row],[rate]],""",",IF(Table2[[#This Row],[drug]]=A114,I114,"""--"""),")")</f>
        <v>if(${p_age}&gt;= and ${p_age}&lt;,"0",if(${p_age}&gt;= and ${p_age}&lt;,"1",if(${p_age}&gt;= and ${p_age}&lt;,"2","--")))</v>
      </c>
      <c r="J113" s="2" t="str">
        <f>CONCATENATE("if(${p_weight}&gt;0,",Table2[[#This Row],[Formula weight]],",",Table2[[#This Row],[Formula Age]],")")</f>
        <v>if(${p_weight}&gt;0,if(${p_weight_age}&gt;=9 and ${p_weight_age}&lt;18,"0",if(${p_weight_age}&gt;=18 and ${p_weight_age}&lt;36,"1",if(${p_weight_age}&gt;=36 and ${p_weight_age}&lt;100,"2","--"))),if(${p_age}&gt;= and ${p_age}&lt;,"0",if(${p_age}&gt;= and ${p_age}&lt;,"1",if(${p_age}&gt;= and ${p_age}&lt;,"2","--"))))</v>
      </c>
      <c r="K113" s="2" t="str">
        <f>GenerateDrugString(Table2[[#This Row],[Min_weight_kg]],Table2[[#This Row],[Max_weight_kg]],Table2[[#This Row],[rate]],Table35[kg])</f>
        <v>0 0 0 0 0 0</v>
      </c>
      <c r="L113" s="2" t="str">
        <f>CONCATENATE(Table2[[#This Row],[drugStringLine]],IF(TRIM(Table2[[#This Row],[drugStringLine]])="",""," "),IF(Table2[[#This Row],[drug]]=A114,L114,""))</f>
        <v xml:space="preserve">0 0 0 0 0 0 1 2 </v>
      </c>
    </row>
    <row r="114" spans="1:12">
      <c r="A114" t="s">
        <v>53</v>
      </c>
      <c r="B114" t="str">
        <f>IF(Table2[[#This Row],[drug]]&lt;&gt;A113,Table2[[#This Row],[drug]],"")</f>
        <v/>
      </c>
      <c r="C114">
        <v>18</v>
      </c>
      <c r="D114">
        <v>36</v>
      </c>
      <c r="G114">
        <v>1</v>
      </c>
      <c r="H114" s="2" t="str">
        <f>CONCATENATE("if(${p_weight_age}&gt;=",Table2[[#This Row],[Min_weight_kg]]," and ${p_weight_age}&lt;",Table2[[#This Row],[Max_weight_kg]],",""",Table2[[#This Row],[rate]],""",",IF(Table2[[#This Row],[drug]]=A115,H115,"""--"""),")")</f>
        <v>if(${p_weight_age}&gt;=18 and ${p_weight_age}&lt;36,"1",if(${p_weight_age}&gt;=36 and ${p_weight_age}&lt;100,"2","--"))</v>
      </c>
      <c r="I114" s="2" t="str">
        <f>CONCATENATE("if(${p_age}&gt;=",Table2[[#This Row],[Min_age_months]]," and ${p_age}&lt;",Table2[[#This Row],[Max_age_months]],",""",Table2[[#This Row],[rate]],""",",IF(Table2[[#This Row],[drug]]=A115,I115,"""--"""),")")</f>
        <v>if(${p_age}&gt;= and ${p_age}&lt;,"1",if(${p_age}&gt;= and ${p_age}&lt;,"2","--"))</v>
      </c>
      <c r="J114" s="2" t="str">
        <f>CONCATENATE("if(${p_weight}&gt;0,",Table2[[#This Row],[Formula weight]],",",Table2[[#This Row],[Formula Age]],")")</f>
        <v>if(${p_weight}&gt;0,if(${p_weight_age}&gt;=18 and ${p_weight_age}&lt;36,"1",if(${p_weight_age}&gt;=36 and ${p_weight_age}&lt;100,"2","--")),if(${p_age}&gt;= and ${p_age}&lt;,"1",if(${p_age}&gt;= and ${p_age}&lt;,"2","--")))</v>
      </c>
      <c r="K114" s="2" t="str">
        <f>GenerateDrugString(Table2[[#This Row],[Min_weight_kg]],Table2[[#This Row],[Max_weight_kg]],Table2[[#This Row],[rate]],Table35[kg])</f>
        <v>1</v>
      </c>
      <c r="L114" s="2" t="str">
        <f>CONCATENATE(Table2[[#This Row],[drugStringLine]],IF(TRIM(Table2[[#This Row],[drugStringLine]])="",""," "),IF(Table2[[#This Row],[drug]]=A115,L115,""))</f>
        <v xml:space="preserve">1 2 </v>
      </c>
    </row>
    <row r="115" spans="1:12">
      <c r="A115" t="s">
        <v>53</v>
      </c>
      <c r="B115" t="str">
        <f>IF(Table2[[#This Row],[drug]]&lt;&gt;A114,Table2[[#This Row],[drug]],"")</f>
        <v/>
      </c>
      <c r="C115">
        <v>36</v>
      </c>
      <c r="D115">
        <v>100</v>
      </c>
      <c r="G115">
        <v>2</v>
      </c>
      <c r="H115" s="2" t="str">
        <f>CONCATENATE("if(${p_weight_age}&gt;=",Table2[[#This Row],[Min_weight_kg]]," and ${p_weight_age}&lt;",Table2[[#This Row],[Max_weight_kg]],",""",Table2[[#This Row],[rate]],""",",IF(Table2[[#This Row],[drug]]=A116,H116,"""--"""),")")</f>
        <v>if(${p_weight_age}&gt;=36 and ${p_weight_age}&lt;100,"2","--")</v>
      </c>
      <c r="I115" s="2" t="str">
        <f>CONCATENATE("if(${p_age}&gt;=",Table2[[#This Row],[Min_age_months]]," and ${p_age}&lt;",Table2[[#This Row],[Max_age_months]],",""",Table2[[#This Row],[rate]],""",",IF(Table2[[#This Row],[drug]]=A116,I116,"""--"""),")")</f>
        <v>if(${p_age}&gt;= and ${p_age}&lt;,"2","--")</v>
      </c>
      <c r="J115" s="2" t="str">
        <f>CONCATENATE("if(${p_weight}&gt;0,",Table2[[#This Row],[Formula weight]],",",Table2[[#This Row],[Formula Age]],")")</f>
        <v>if(${p_weight}&gt;0,if(${p_weight_age}&gt;=36 and ${p_weight_age}&lt;100,"2","--"),if(${p_age}&gt;= and ${p_age}&lt;,"2","--"))</v>
      </c>
      <c r="K115" s="2" t="str">
        <f>GenerateDrugString(Table2[[#This Row],[Min_weight_kg]],Table2[[#This Row],[Max_weight_kg]],Table2[[#This Row],[rate]],Table35[kg])</f>
        <v>2</v>
      </c>
      <c r="L115" s="2" t="str">
        <f>CONCATENATE(Table2[[#This Row],[drugStringLine]],IF(TRIM(Table2[[#This Row],[drugStringLine]])="",""," "),IF(Table2[[#This Row],[drug]]=A116,L116,""))</f>
        <v xml:space="preserve">2 </v>
      </c>
    </row>
    <row r="116" spans="1:12">
      <c r="A116" t="s">
        <v>54</v>
      </c>
      <c r="B116" t="str">
        <f>IF(Table2[[#This Row],[drug]]&lt;&gt;A115,Table2[[#This Row],[drug]],"")</f>
        <v>as_50_aq_135_tab</v>
      </c>
      <c r="C116">
        <v>0</v>
      </c>
      <c r="D116">
        <v>4.5</v>
      </c>
      <c r="G116">
        <v>0</v>
      </c>
      <c r="H116" s="2" t="str">
        <f>CONCATENATE("if(${p_weight_age}&gt;=",Table2[[#This Row],[Min_weight_kg]]," and ${p_weight_age}&lt;",Table2[[#This Row],[Max_weight_kg]],",""",Table2[[#This Row],[rate]],""",",IF(Table2[[#This Row],[drug]]=A117,H117,"""--"""),")")</f>
        <v>if(${p_weight_age}&gt;=0 and ${p_weight_age}&lt;4.5,"0",if(${p_weight_age}&gt;=4.5 and ${p_weight_age}&lt;9,"1/2",if(${p_weight_age}&gt;=9 and ${p_weight_age}&lt;18,"1",if(${p_weight_age}&gt;=18 and ${p_weight_age}&lt;36,"2",if(${p_weight_age}&gt;=36 and ${p_weight_age}&lt;100,"4","--")))))</v>
      </c>
      <c r="I116" s="2" t="str">
        <f>CONCATENATE("if(${p_age}&gt;=",Table2[[#This Row],[Min_age_months]]," and ${p_age}&lt;",Table2[[#This Row],[Max_age_months]],",""",Table2[[#This Row],[rate]],""",",IF(Table2[[#This Row],[drug]]=A117,I117,"""--"""),")")</f>
        <v>if(${p_age}&gt;= and ${p_age}&lt;,"0",if(${p_age}&gt;= and ${p_age}&lt;,"1/2",if(${p_age}&gt;= and ${p_age}&lt;,"1",if(${p_age}&gt;= and ${p_age}&lt;,"2",if(${p_age}&gt;= and ${p_age}&lt;,"4","--")))))</v>
      </c>
      <c r="J116" s="2" t="str">
        <f>CONCATENATE("if(${p_weight}&gt;0,",Table2[[#This Row],[Formula weight]],",",Table2[[#This Row],[Formula Age]],")")</f>
        <v>if(${p_weight}&gt;0,if(${p_weight_age}&gt;=0 and ${p_weight_age}&lt;4.5,"0",if(${p_weight_age}&gt;=4.5 and ${p_weight_age}&lt;9,"1/2",if(${p_weight_age}&gt;=9 and ${p_weight_age}&lt;18,"1",if(${p_weight_age}&gt;=18 and ${p_weight_age}&lt;36,"2",if(${p_weight_age}&gt;=36 and ${p_weight_age}&lt;100,"4","--"))))),if(${p_age}&gt;= and ${p_age}&lt;,"0",if(${p_age}&gt;= and ${p_age}&lt;,"1/2",if(${p_age}&gt;= and ${p_age}&lt;,"1",if(${p_age}&gt;= and ${p_age}&lt;,"2",if(${p_age}&gt;= and ${p_age}&lt;,"4","--"))))))</v>
      </c>
      <c r="K116" s="2" t="str">
        <f>GenerateDrugString(Table2[[#This Row],[Min_weight_kg]],Table2[[#This Row],[Max_weight_kg]],Table2[[#This Row],[rate]],Table35[kg])</f>
        <v>0 0 0 0</v>
      </c>
      <c r="L116" s="2" t="str">
        <f>CONCATENATE(Table2[[#This Row],[drugStringLine]],IF(TRIM(Table2[[#This Row],[drugStringLine]])="",""," "),IF(Table2[[#This Row],[drug]]=A117,L117,""))</f>
        <v xml:space="preserve">0 0 0 0 1/2 1/2 1/2 1/2 1/2 1/2 1 1 1 1 1 1 2 4 </v>
      </c>
    </row>
    <row r="117" spans="1:12">
      <c r="A117" t="s">
        <v>54</v>
      </c>
      <c r="B117" t="str">
        <f>IF(Table2[[#This Row],[drug]]&lt;&gt;A116,Table2[[#This Row],[drug]],"")</f>
        <v/>
      </c>
      <c r="C117">
        <v>4.5</v>
      </c>
      <c r="D117">
        <v>9</v>
      </c>
      <c r="G117" t="s">
        <v>5</v>
      </c>
      <c r="H117" s="2" t="str">
        <f>CONCATENATE("if(${p_weight_age}&gt;=",Table2[[#This Row],[Min_weight_kg]]," and ${p_weight_age}&lt;",Table2[[#This Row],[Max_weight_kg]],",""",Table2[[#This Row],[rate]],""",",IF(Table2[[#This Row],[drug]]=A118,H118,"""--"""),")")</f>
        <v>if(${p_weight_age}&gt;=4.5 and ${p_weight_age}&lt;9,"1/2",if(${p_weight_age}&gt;=9 and ${p_weight_age}&lt;18,"1",if(${p_weight_age}&gt;=18 and ${p_weight_age}&lt;36,"2",if(${p_weight_age}&gt;=36 and ${p_weight_age}&lt;100,"4","--"))))</v>
      </c>
      <c r="I117" s="2" t="str">
        <f>CONCATENATE("if(${p_age}&gt;=",Table2[[#This Row],[Min_age_months]]," and ${p_age}&lt;",Table2[[#This Row],[Max_age_months]],",""",Table2[[#This Row],[rate]],""",",IF(Table2[[#This Row],[drug]]=A118,I118,"""--"""),")")</f>
        <v>if(${p_age}&gt;= and ${p_age}&lt;,"1/2",if(${p_age}&gt;= and ${p_age}&lt;,"1",if(${p_age}&gt;= and ${p_age}&lt;,"2",if(${p_age}&gt;= and ${p_age}&lt;,"4","--"))))</v>
      </c>
      <c r="J117" s="2" t="str">
        <f>CONCATENATE("if(${p_weight}&gt;0,",Table2[[#This Row],[Formula weight]],",",Table2[[#This Row],[Formula Age]],")")</f>
        <v>if(${p_weight}&gt;0,if(${p_weight_age}&gt;=4.5 and ${p_weight_age}&lt;9,"1/2",if(${p_weight_age}&gt;=9 and ${p_weight_age}&lt;18,"1",if(${p_weight_age}&gt;=18 and ${p_weight_age}&lt;36,"2",if(${p_weight_age}&gt;=36 and ${p_weight_age}&lt;100,"4","--")))),if(${p_age}&gt;= and ${p_age}&lt;,"1/2",if(${p_age}&gt;= and ${p_age}&lt;,"1",if(${p_age}&gt;= and ${p_age}&lt;,"2",if(${p_age}&gt;= and ${p_age}&lt;,"4","--")))))</v>
      </c>
      <c r="K117" s="2" t="str">
        <f>GenerateDrugString(Table2[[#This Row],[Min_weight_kg]],Table2[[#This Row],[Max_weight_kg]],Table2[[#This Row],[rate]],Table35[kg])</f>
        <v>1/2 1/2 1/2 1/2 1/2 1/2</v>
      </c>
      <c r="L117" s="2" t="str">
        <f>CONCATENATE(Table2[[#This Row],[drugStringLine]],IF(TRIM(Table2[[#This Row],[drugStringLine]])="",""," "),IF(Table2[[#This Row],[drug]]=A118,L118,""))</f>
        <v xml:space="preserve">1/2 1/2 1/2 1/2 1/2 1/2 1 1 1 1 1 1 2 4 </v>
      </c>
    </row>
    <row r="118" spans="1:12">
      <c r="A118" t="s">
        <v>54</v>
      </c>
      <c r="B118" t="str">
        <f>IF(Table2[[#This Row],[drug]]&lt;&gt;A117,Table2[[#This Row],[drug]],"")</f>
        <v/>
      </c>
      <c r="C118">
        <v>9</v>
      </c>
      <c r="D118">
        <v>18</v>
      </c>
      <c r="G118">
        <v>1</v>
      </c>
      <c r="H118" s="2" t="str">
        <f>CONCATENATE("if(${p_weight_age}&gt;=",Table2[[#This Row],[Min_weight_kg]]," and ${p_weight_age}&lt;",Table2[[#This Row],[Max_weight_kg]],",""",Table2[[#This Row],[rate]],""",",IF(Table2[[#This Row],[drug]]=A119,H119,"""--"""),")")</f>
        <v>if(${p_weight_age}&gt;=9 and ${p_weight_age}&lt;18,"1",if(${p_weight_age}&gt;=18 and ${p_weight_age}&lt;36,"2",if(${p_weight_age}&gt;=36 and ${p_weight_age}&lt;100,"4","--")))</v>
      </c>
      <c r="I118" s="2" t="str">
        <f>CONCATENATE("if(${p_age}&gt;=",Table2[[#This Row],[Min_age_months]]," and ${p_age}&lt;",Table2[[#This Row],[Max_age_months]],",""",Table2[[#This Row],[rate]],""",",IF(Table2[[#This Row],[drug]]=A119,I119,"""--"""),")")</f>
        <v>if(${p_age}&gt;= and ${p_age}&lt;,"1",if(${p_age}&gt;= and ${p_age}&lt;,"2",if(${p_age}&gt;= and ${p_age}&lt;,"4","--")))</v>
      </c>
      <c r="J118" s="2" t="str">
        <f>CONCATENATE("if(${p_weight}&gt;0,",Table2[[#This Row],[Formula weight]],",",Table2[[#This Row],[Formula Age]],")")</f>
        <v>if(${p_weight}&gt;0,if(${p_weight_age}&gt;=9 and ${p_weight_age}&lt;18,"1",if(${p_weight_age}&gt;=18 and ${p_weight_age}&lt;36,"2",if(${p_weight_age}&gt;=36 and ${p_weight_age}&lt;100,"4","--"))),if(${p_age}&gt;= and ${p_age}&lt;,"1",if(${p_age}&gt;= and ${p_age}&lt;,"2",if(${p_age}&gt;= and ${p_age}&lt;,"4","--"))))</v>
      </c>
      <c r="K118" s="2" t="str">
        <f>GenerateDrugString(Table2[[#This Row],[Min_weight_kg]],Table2[[#This Row],[Max_weight_kg]],Table2[[#This Row],[rate]],Table35[kg])</f>
        <v>1 1 1 1 1 1</v>
      </c>
      <c r="L118" s="2" t="str">
        <f>CONCATENATE(Table2[[#This Row],[drugStringLine]],IF(TRIM(Table2[[#This Row],[drugStringLine]])="",""," "),IF(Table2[[#This Row],[drug]]=A119,L119,""))</f>
        <v xml:space="preserve">1 1 1 1 1 1 2 4 </v>
      </c>
    </row>
    <row r="119" spans="1:12">
      <c r="A119" t="s">
        <v>54</v>
      </c>
      <c r="B119" t="str">
        <f>IF(Table2[[#This Row],[drug]]&lt;&gt;A118,Table2[[#This Row],[drug]],"")</f>
        <v/>
      </c>
      <c r="C119">
        <v>18</v>
      </c>
      <c r="D119">
        <v>36</v>
      </c>
      <c r="G119">
        <v>2</v>
      </c>
      <c r="H119" s="2" t="str">
        <f>CONCATENATE("if(${p_weight_age}&gt;=",Table2[[#This Row],[Min_weight_kg]]," and ${p_weight_age}&lt;",Table2[[#This Row],[Max_weight_kg]],",""",Table2[[#This Row],[rate]],""",",IF(Table2[[#This Row],[drug]]=A120,H120,"""--"""),")")</f>
        <v>if(${p_weight_age}&gt;=18 and ${p_weight_age}&lt;36,"2",if(${p_weight_age}&gt;=36 and ${p_weight_age}&lt;100,"4","--"))</v>
      </c>
      <c r="I119" s="2" t="str">
        <f>CONCATENATE("if(${p_age}&gt;=",Table2[[#This Row],[Min_age_months]]," and ${p_age}&lt;",Table2[[#This Row],[Max_age_months]],",""",Table2[[#This Row],[rate]],""",",IF(Table2[[#This Row],[drug]]=A120,I120,"""--"""),")")</f>
        <v>if(${p_age}&gt;= and ${p_age}&lt;,"2",if(${p_age}&gt;= and ${p_age}&lt;,"4","--"))</v>
      </c>
      <c r="J119" s="2" t="str">
        <f>CONCATENATE("if(${p_weight}&gt;0,",Table2[[#This Row],[Formula weight]],",",Table2[[#This Row],[Formula Age]],")")</f>
        <v>if(${p_weight}&gt;0,if(${p_weight_age}&gt;=18 and ${p_weight_age}&lt;36,"2",if(${p_weight_age}&gt;=36 and ${p_weight_age}&lt;100,"4","--")),if(${p_age}&gt;= and ${p_age}&lt;,"2",if(${p_age}&gt;= and ${p_age}&lt;,"4","--")))</v>
      </c>
      <c r="K119" s="2" t="str">
        <f>GenerateDrugString(Table2[[#This Row],[Min_weight_kg]],Table2[[#This Row],[Max_weight_kg]],Table2[[#This Row],[rate]],Table35[kg])</f>
        <v>2</v>
      </c>
      <c r="L119" s="2" t="str">
        <f>CONCATENATE(Table2[[#This Row],[drugStringLine]],IF(TRIM(Table2[[#This Row],[drugStringLine]])="",""," "),IF(Table2[[#This Row],[drug]]=A120,L120,""))</f>
        <v xml:space="preserve">2 4 </v>
      </c>
    </row>
    <row r="120" spans="1:12">
      <c r="A120" t="s">
        <v>54</v>
      </c>
      <c r="B120" t="str">
        <f>IF(Table2[[#This Row],[drug]]&lt;&gt;A119,Table2[[#This Row],[drug]],"")</f>
        <v/>
      </c>
      <c r="C120">
        <v>36</v>
      </c>
      <c r="D120">
        <v>100</v>
      </c>
      <c r="G120">
        <v>4</v>
      </c>
      <c r="H120" s="2" t="str">
        <f>CONCATENATE("if(${p_weight_age}&gt;=",Table2[[#This Row],[Min_weight_kg]]," and ${p_weight_age}&lt;",Table2[[#This Row],[Max_weight_kg]],",""",Table2[[#This Row],[rate]],""",",IF(Table2[[#This Row],[drug]]=A121,H121,"""--"""),")")</f>
        <v>if(${p_weight_age}&gt;=36 and ${p_weight_age}&lt;100,"4","--")</v>
      </c>
      <c r="I120" s="2" t="str">
        <f>CONCATENATE("if(${p_age}&gt;=",Table2[[#This Row],[Min_age_months]]," and ${p_age}&lt;",Table2[[#This Row],[Max_age_months]],",""",Table2[[#This Row],[rate]],""",",IF(Table2[[#This Row],[drug]]=A121,I121,"""--"""),")")</f>
        <v>if(${p_age}&gt;= and ${p_age}&lt;,"4","--")</v>
      </c>
      <c r="J120" s="2" t="str">
        <f>CONCATENATE("if(${p_weight}&gt;0,",Table2[[#This Row],[Formula weight]],",",Table2[[#This Row],[Formula Age]],")")</f>
        <v>if(${p_weight}&gt;0,if(${p_weight_age}&gt;=36 and ${p_weight_age}&lt;100,"4","--"),if(${p_age}&gt;= and ${p_age}&lt;,"4","--"))</v>
      </c>
      <c r="K120" s="2" t="str">
        <f>GenerateDrugString(Table2[[#This Row],[Min_weight_kg]],Table2[[#This Row],[Max_weight_kg]],Table2[[#This Row],[rate]],Table35[kg])</f>
        <v>4</v>
      </c>
      <c r="L120" s="2" t="str">
        <f>CONCATENATE(Table2[[#This Row],[drugStringLine]],IF(TRIM(Table2[[#This Row],[drugStringLine]])="",""," "),IF(Table2[[#This Row],[drug]]=A121,L121,""))</f>
        <v xml:space="preserve">4 </v>
      </c>
    </row>
    <row r="121" spans="1:12">
      <c r="A121" t="s">
        <v>55</v>
      </c>
      <c r="B121" t="str">
        <f>IF(Table2[[#This Row],[drug]]&lt;&gt;A120,Table2[[#This Row],[drug]],"")</f>
        <v>as_25_aq_67_tab</v>
      </c>
      <c r="C121">
        <v>0</v>
      </c>
      <c r="D121">
        <v>4.5</v>
      </c>
      <c r="G121">
        <v>0</v>
      </c>
      <c r="H121" s="2" t="str">
        <f>CONCATENATE("if(${p_weight_age}&gt;=",Table2[[#This Row],[Min_weight_kg]]," and ${p_weight_age}&lt;",Table2[[#This Row],[Max_weight_kg]],",""",Table2[[#This Row],[rate]],""",",IF(Table2[[#This Row],[drug]]=A122,H122,"""--"""),")")</f>
        <v>if(${p_weight_age}&gt;=0 and ${p_weight_age}&lt;4.5,"0",if(${p_weight_age}&gt;=4.5 and ${p_weight_age}&lt;9,"1",if(${p_weight_age}&gt;=9 and ${p_weight_age}&lt;18,"2",if(${p_weight_age}&gt;=18 and ${p_weight_age}&lt;36,"4",if(${p_weight_age}&gt;=36 and ${p_weight_age}&lt;100,"8","--")))))</v>
      </c>
      <c r="I121" s="2" t="str">
        <f>CONCATENATE("if(${p_age}&gt;=",Table2[[#This Row],[Min_age_months]]," and ${p_age}&lt;",Table2[[#This Row],[Max_age_months]],",""",Table2[[#This Row],[rate]],""",",IF(Table2[[#This Row],[drug]]=A122,I122,"""--"""),")")</f>
        <v>if(${p_age}&gt;= and ${p_age}&lt;,"0",if(${p_age}&gt;= and ${p_age}&lt;,"1",if(${p_age}&gt;= and ${p_age}&lt;,"2",if(${p_age}&gt;= and ${p_age}&lt;,"4",if(${p_age}&gt;= and ${p_age}&lt;,"8","--")))))</v>
      </c>
      <c r="J121" s="2" t="str">
        <f>CONCATENATE("if(${p_weight}&gt;0,",Table2[[#This Row],[Formula weight]],",",Table2[[#This Row],[Formula Age]],")")</f>
        <v>if(${p_weight}&gt;0,if(${p_weight_age}&gt;=0 and ${p_weight_age}&lt;4.5,"0",if(${p_weight_age}&gt;=4.5 and ${p_weight_age}&lt;9,"1",if(${p_weight_age}&gt;=9 and ${p_weight_age}&lt;18,"2",if(${p_weight_age}&gt;=18 and ${p_weight_age}&lt;36,"4",if(${p_weight_age}&gt;=36 and ${p_weight_age}&lt;100,"8","--"))))),if(${p_age}&gt;= and ${p_age}&lt;,"0",if(${p_age}&gt;= and ${p_age}&lt;,"1",if(${p_age}&gt;= and ${p_age}&lt;,"2",if(${p_age}&gt;= and ${p_age}&lt;,"4",if(${p_age}&gt;= and ${p_age}&lt;,"8","--"))))))</v>
      </c>
      <c r="K121" s="2" t="str">
        <f>GenerateDrugString(Table2[[#This Row],[Min_weight_kg]],Table2[[#This Row],[Max_weight_kg]],Table2[[#This Row],[rate]],Table35[kg])</f>
        <v>0 0 0 0</v>
      </c>
      <c r="L121" s="2" t="str">
        <f>CONCATENATE(Table2[[#This Row],[drugStringLine]],IF(TRIM(Table2[[#This Row],[drugStringLine]])="",""," "),IF(Table2[[#This Row],[drug]]=A122,L122,""))</f>
        <v xml:space="preserve">0 0 0 0 1 1 1 1 1 1 2 2 2 2 2 2 4 8 </v>
      </c>
    </row>
    <row r="122" spans="1:12">
      <c r="A122" t="s">
        <v>55</v>
      </c>
      <c r="B122" t="str">
        <f>IF(Table2[[#This Row],[drug]]&lt;&gt;A121,Table2[[#This Row],[drug]],"")</f>
        <v/>
      </c>
      <c r="C122">
        <v>4.5</v>
      </c>
      <c r="D122">
        <v>9</v>
      </c>
      <c r="G122">
        <v>1</v>
      </c>
      <c r="H122" s="2" t="str">
        <f>CONCATENATE("if(${p_weight_age}&gt;=",Table2[[#This Row],[Min_weight_kg]]," and ${p_weight_age}&lt;",Table2[[#This Row],[Max_weight_kg]],",""",Table2[[#This Row],[rate]],""",",IF(Table2[[#This Row],[drug]]=A123,H123,"""--"""),")")</f>
        <v>if(${p_weight_age}&gt;=4.5 and ${p_weight_age}&lt;9,"1",if(${p_weight_age}&gt;=9 and ${p_weight_age}&lt;18,"2",if(${p_weight_age}&gt;=18 and ${p_weight_age}&lt;36,"4",if(${p_weight_age}&gt;=36 and ${p_weight_age}&lt;100,"8","--"))))</v>
      </c>
      <c r="I122" s="2" t="str">
        <f>CONCATENATE("if(${p_age}&gt;=",Table2[[#This Row],[Min_age_months]]," and ${p_age}&lt;",Table2[[#This Row],[Max_age_months]],",""",Table2[[#This Row],[rate]],""",",IF(Table2[[#This Row],[drug]]=A123,I123,"""--"""),")")</f>
        <v>if(${p_age}&gt;= and ${p_age}&lt;,"1",if(${p_age}&gt;= and ${p_age}&lt;,"2",if(${p_age}&gt;= and ${p_age}&lt;,"4",if(${p_age}&gt;= and ${p_age}&lt;,"8","--"))))</v>
      </c>
      <c r="J122" s="2" t="str">
        <f>CONCATENATE("if(${p_weight}&gt;0,",Table2[[#This Row],[Formula weight]],",",Table2[[#This Row],[Formula Age]],")")</f>
        <v>if(${p_weight}&gt;0,if(${p_weight_age}&gt;=4.5 and ${p_weight_age}&lt;9,"1",if(${p_weight_age}&gt;=9 and ${p_weight_age}&lt;18,"2",if(${p_weight_age}&gt;=18 and ${p_weight_age}&lt;36,"4",if(${p_weight_age}&gt;=36 and ${p_weight_age}&lt;100,"8","--")))),if(${p_age}&gt;= and ${p_age}&lt;,"1",if(${p_age}&gt;= and ${p_age}&lt;,"2",if(${p_age}&gt;= and ${p_age}&lt;,"4",if(${p_age}&gt;= and ${p_age}&lt;,"8","--")))))</v>
      </c>
      <c r="K122" s="2" t="str">
        <f>GenerateDrugString(Table2[[#This Row],[Min_weight_kg]],Table2[[#This Row],[Max_weight_kg]],Table2[[#This Row],[rate]],Table35[kg])</f>
        <v>1 1 1 1 1 1</v>
      </c>
      <c r="L122" s="2" t="str">
        <f>CONCATENATE(Table2[[#This Row],[drugStringLine]],IF(TRIM(Table2[[#This Row],[drugStringLine]])="",""," "),IF(Table2[[#This Row],[drug]]=A123,L123,""))</f>
        <v xml:space="preserve">1 1 1 1 1 1 2 2 2 2 2 2 4 8 </v>
      </c>
    </row>
    <row r="123" spans="1:12">
      <c r="A123" t="s">
        <v>55</v>
      </c>
      <c r="B123" t="str">
        <f>IF(Table2[[#This Row],[drug]]&lt;&gt;A122,Table2[[#This Row],[drug]],"")</f>
        <v/>
      </c>
      <c r="C123">
        <v>9</v>
      </c>
      <c r="D123">
        <v>18</v>
      </c>
      <c r="G123">
        <v>2</v>
      </c>
      <c r="H123" s="2" t="str">
        <f>CONCATENATE("if(${p_weight_age}&gt;=",Table2[[#This Row],[Min_weight_kg]]," and ${p_weight_age}&lt;",Table2[[#This Row],[Max_weight_kg]],",""",Table2[[#This Row],[rate]],""",",IF(Table2[[#This Row],[drug]]=A124,H124,"""--"""),")")</f>
        <v>if(${p_weight_age}&gt;=9 and ${p_weight_age}&lt;18,"2",if(${p_weight_age}&gt;=18 and ${p_weight_age}&lt;36,"4",if(${p_weight_age}&gt;=36 and ${p_weight_age}&lt;100,"8","--")))</v>
      </c>
      <c r="I123" s="2" t="str">
        <f>CONCATENATE("if(${p_age}&gt;=",Table2[[#This Row],[Min_age_months]]," and ${p_age}&lt;",Table2[[#This Row],[Max_age_months]],",""",Table2[[#This Row],[rate]],""",",IF(Table2[[#This Row],[drug]]=A124,I124,"""--"""),")")</f>
        <v>if(${p_age}&gt;= and ${p_age}&lt;,"2",if(${p_age}&gt;= and ${p_age}&lt;,"4",if(${p_age}&gt;= and ${p_age}&lt;,"8","--")))</v>
      </c>
      <c r="J123" s="2" t="str">
        <f>CONCATENATE("if(${p_weight}&gt;0,",Table2[[#This Row],[Formula weight]],",",Table2[[#This Row],[Formula Age]],")")</f>
        <v>if(${p_weight}&gt;0,if(${p_weight_age}&gt;=9 and ${p_weight_age}&lt;18,"2",if(${p_weight_age}&gt;=18 and ${p_weight_age}&lt;36,"4",if(${p_weight_age}&gt;=36 and ${p_weight_age}&lt;100,"8","--"))),if(${p_age}&gt;= and ${p_age}&lt;,"2",if(${p_age}&gt;= and ${p_age}&lt;,"4",if(${p_age}&gt;= and ${p_age}&lt;,"8","--"))))</v>
      </c>
      <c r="K123" s="2" t="str">
        <f>GenerateDrugString(Table2[[#This Row],[Min_weight_kg]],Table2[[#This Row],[Max_weight_kg]],Table2[[#This Row],[rate]],Table35[kg])</f>
        <v>2 2 2 2 2 2</v>
      </c>
      <c r="L123" s="2" t="str">
        <f>CONCATENATE(Table2[[#This Row],[drugStringLine]],IF(TRIM(Table2[[#This Row],[drugStringLine]])="",""," "),IF(Table2[[#This Row],[drug]]=A124,L124,""))</f>
        <v xml:space="preserve">2 2 2 2 2 2 4 8 </v>
      </c>
    </row>
    <row r="124" spans="1:12">
      <c r="A124" t="s">
        <v>55</v>
      </c>
      <c r="B124" t="str">
        <f>IF(Table2[[#This Row],[drug]]&lt;&gt;A123,Table2[[#This Row],[drug]],"")</f>
        <v/>
      </c>
      <c r="C124">
        <v>18</v>
      </c>
      <c r="D124">
        <v>36</v>
      </c>
      <c r="G124">
        <v>4</v>
      </c>
      <c r="H124" s="2" t="str">
        <f>CONCATENATE("if(${p_weight_age}&gt;=",Table2[[#This Row],[Min_weight_kg]]," and ${p_weight_age}&lt;",Table2[[#This Row],[Max_weight_kg]],",""",Table2[[#This Row],[rate]],""",",IF(Table2[[#This Row],[drug]]=A125,H125,"""--"""),")")</f>
        <v>if(${p_weight_age}&gt;=18 and ${p_weight_age}&lt;36,"4",if(${p_weight_age}&gt;=36 and ${p_weight_age}&lt;100,"8","--"))</v>
      </c>
      <c r="I124" s="2" t="str">
        <f>CONCATENATE("if(${p_age}&gt;=",Table2[[#This Row],[Min_age_months]]," and ${p_age}&lt;",Table2[[#This Row],[Max_age_months]],",""",Table2[[#This Row],[rate]],""",",IF(Table2[[#This Row],[drug]]=A125,I125,"""--"""),")")</f>
        <v>if(${p_age}&gt;= and ${p_age}&lt;,"4",if(${p_age}&gt;= and ${p_age}&lt;,"8","--"))</v>
      </c>
      <c r="J124" s="2" t="str">
        <f>CONCATENATE("if(${p_weight}&gt;0,",Table2[[#This Row],[Formula weight]],",",Table2[[#This Row],[Formula Age]],")")</f>
        <v>if(${p_weight}&gt;0,if(${p_weight_age}&gt;=18 and ${p_weight_age}&lt;36,"4",if(${p_weight_age}&gt;=36 and ${p_weight_age}&lt;100,"8","--")),if(${p_age}&gt;= and ${p_age}&lt;,"4",if(${p_age}&gt;= and ${p_age}&lt;,"8","--")))</v>
      </c>
      <c r="K124" s="2" t="str">
        <f>GenerateDrugString(Table2[[#This Row],[Min_weight_kg]],Table2[[#This Row],[Max_weight_kg]],Table2[[#This Row],[rate]],Table35[kg])</f>
        <v>4</v>
      </c>
      <c r="L124" s="2" t="str">
        <f>CONCATENATE(Table2[[#This Row],[drugStringLine]],IF(TRIM(Table2[[#This Row],[drugStringLine]])="",""," "),IF(Table2[[#This Row],[drug]]=A125,L125,""))</f>
        <v xml:space="preserve">4 8 </v>
      </c>
    </row>
    <row r="125" spans="1:12">
      <c r="A125" t="s">
        <v>55</v>
      </c>
      <c r="B125" t="str">
        <f>IF(Table2[[#This Row],[drug]]&lt;&gt;A124,Table2[[#This Row],[drug]],"")</f>
        <v/>
      </c>
      <c r="C125">
        <v>36</v>
      </c>
      <c r="D125">
        <v>100</v>
      </c>
      <c r="G125">
        <v>8</v>
      </c>
      <c r="H125" s="2" t="str">
        <f>CONCATENATE("if(${p_weight_age}&gt;=",Table2[[#This Row],[Min_weight_kg]]," and ${p_weight_age}&lt;",Table2[[#This Row],[Max_weight_kg]],",""",Table2[[#This Row],[rate]],""",",IF(Table2[[#This Row],[drug]]=A126,H126,"""--"""),")")</f>
        <v>if(${p_weight_age}&gt;=36 and ${p_weight_age}&lt;100,"8","--")</v>
      </c>
      <c r="I125" s="2" t="str">
        <f>CONCATENATE("if(${p_age}&gt;=",Table2[[#This Row],[Min_age_months]]," and ${p_age}&lt;",Table2[[#This Row],[Max_age_months]],",""",Table2[[#This Row],[rate]],""",",IF(Table2[[#This Row],[drug]]=A126,I126,"""--"""),")")</f>
        <v>if(${p_age}&gt;= and ${p_age}&lt;,"8","--")</v>
      </c>
      <c r="J125" s="2" t="str">
        <f>CONCATENATE("if(${p_weight}&gt;0,",Table2[[#This Row],[Formula weight]],",",Table2[[#This Row],[Formula Age]],")")</f>
        <v>if(${p_weight}&gt;0,if(${p_weight_age}&gt;=36 and ${p_weight_age}&lt;100,"8","--"),if(${p_age}&gt;= and ${p_age}&lt;,"8","--"))</v>
      </c>
      <c r="K125" s="2" t="str">
        <f>GenerateDrugString(Table2[[#This Row],[Min_weight_kg]],Table2[[#This Row],[Max_weight_kg]],Table2[[#This Row],[rate]],Table35[kg])</f>
        <v>8</v>
      </c>
      <c r="L125" s="2" t="str">
        <f>CONCATENATE(Table2[[#This Row],[drugStringLine]],IF(TRIM(Table2[[#This Row],[drugStringLine]])="",""," "),IF(Table2[[#This Row],[drug]]=A126,L126,""))</f>
        <v xml:space="preserve">8 </v>
      </c>
    </row>
    <row r="126" spans="1:12">
      <c r="A126" t="s">
        <v>56</v>
      </c>
      <c r="B126" t="str">
        <f>IF(Table2[[#This Row],[drug]]&lt;&gt;A125,Table2[[#This Row],[drug]],"")</f>
        <v>am_lu_tab</v>
      </c>
      <c r="C126">
        <v>0</v>
      </c>
      <c r="D126">
        <v>3</v>
      </c>
      <c r="G126">
        <v>0</v>
      </c>
      <c r="H126" s="2" t="str">
        <f>CONCATENATE("if(${p_weight_age}&gt;=",Table2[[#This Row],[Min_weight_kg]]," and ${p_weight_age}&lt;",Table2[[#This Row],[Max_weight_kg]],",""",Table2[[#This Row],[rate]],""",",IF(Table2[[#This Row],[drug]]=A127,H127,"""--"""),")")</f>
        <v>if(${p_weight_age}&gt;=0 and ${p_weight_age}&lt;3,"0",if(${p_weight_age}&gt;=3 and ${p_weight_age}&lt;5,"1",if(${p_weight_age}&gt;=5 and ${p_weight_age}&lt;15,"1",if(${p_weight_age}&gt;=15 and ${p_weight_age}&lt;25,"2",if(${p_weight_age}&gt;=25 and ${p_weight_age}&lt;100,"3","--")))))</v>
      </c>
      <c r="I126" s="2" t="str">
        <f>CONCATENATE("if(${p_age}&gt;=",Table2[[#This Row],[Min_age_months]]," and ${p_age}&lt;",Table2[[#This Row],[Max_age_months]],",""",Table2[[#This Row],[rate]],""",",IF(Table2[[#This Row],[drug]]=A127,I127,"""--"""),")")</f>
        <v>if(${p_age}&gt;= and ${p_age}&lt;,"0",if(${p_age}&gt;= and ${p_age}&lt;,"1",if(${p_age}&gt;= and ${p_age}&lt;,"1",if(${p_age}&gt;= and ${p_age}&lt;,"2",if(${p_age}&gt;= and ${p_age}&lt;,"3","--")))))</v>
      </c>
      <c r="J126" s="2" t="str">
        <f>CONCATENATE("if(${p_weight}&gt;0,",Table2[[#This Row],[Formula weight]],",",Table2[[#This Row],[Formula Age]],")")</f>
        <v>if(${p_weight}&gt;0,if(${p_weight_age}&gt;=0 and ${p_weight_age}&lt;3,"0",if(${p_weight_age}&gt;=3 and ${p_weight_age}&lt;5,"1",if(${p_weight_age}&gt;=5 and ${p_weight_age}&lt;15,"1",if(${p_weight_age}&gt;=15 and ${p_weight_age}&lt;25,"2",if(${p_weight_age}&gt;=25 and ${p_weight_age}&lt;100,"3","--"))))),if(${p_age}&gt;= and ${p_age}&lt;,"0",if(${p_age}&gt;= and ${p_age}&lt;,"1",if(${p_age}&gt;= and ${p_age}&lt;,"1",if(${p_age}&gt;= and ${p_age}&lt;,"2",if(${p_age}&gt;= and ${p_age}&lt;,"3","--"))))))</v>
      </c>
      <c r="K126" s="2" t="str">
        <f>GenerateDrugString(Table2[[#This Row],[Min_weight_kg]],Table2[[#This Row],[Max_weight_kg]],Table2[[#This Row],[rate]],Table35[kg])</f>
        <v>0</v>
      </c>
      <c r="L126" s="2" t="str">
        <f>CONCATENATE(Table2[[#This Row],[drugStringLine]],IF(TRIM(Table2[[#This Row],[drugStringLine]])="",""," "),IF(Table2[[#This Row],[drug]]=A127,L127,""))</f>
        <v xml:space="preserve">0 1 1 1 1 1 1 1 1 1 1 1 1 1 1 2 2 3 </v>
      </c>
    </row>
    <row r="127" spans="1:12">
      <c r="A127" t="s">
        <v>56</v>
      </c>
      <c r="B127" t="str">
        <f>IF(Table2[[#This Row],[drug]]&lt;&gt;A126,Table2[[#This Row],[drug]],"")</f>
        <v/>
      </c>
      <c r="C127">
        <v>3</v>
      </c>
      <c r="D127">
        <v>5</v>
      </c>
      <c r="G127">
        <v>1</v>
      </c>
      <c r="H127" s="2" t="str">
        <f>CONCATENATE("if(${p_weight_age}&gt;=",Table2[[#This Row],[Min_weight_kg]]," and ${p_weight_age}&lt;",Table2[[#This Row],[Max_weight_kg]],",""",Table2[[#This Row],[rate]],""",",IF(Table2[[#This Row],[drug]]=A128,H128,"""--"""),")")</f>
        <v>if(${p_weight_age}&gt;=3 and ${p_weight_age}&lt;5,"1",if(${p_weight_age}&gt;=5 and ${p_weight_age}&lt;15,"1",if(${p_weight_age}&gt;=15 and ${p_weight_age}&lt;25,"2",if(${p_weight_age}&gt;=25 and ${p_weight_age}&lt;100,"3","--"))))</v>
      </c>
      <c r="I127" s="2" t="str">
        <f>CONCATENATE("if(${p_age}&gt;=",Table2[[#This Row],[Min_age_months]]," and ${p_age}&lt;",Table2[[#This Row],[Max_age_months]],",""",Table2[[#This Row],[rate]],""",",IF(Table2[[#This Row],[drug]]=A128,I128,"""--"""),")")</f>
        <v>if(${p_age}&gt;= and ${p_age}&lt;,"1",if(${p_age}&gt;= and ${p_age}&lt;,"1",if(${p_age}&gt;= and ${p_age}&lt;,"2",if(${p_age}&gt;= and ${p_age}&lt;,"3","--"))))</v>
      </c>
      <c r="J127" s="2" t="str">
        <f>CONCATENATE("if(${p_weight}&gt;0,",Table2[[#This Row],[Formula weight]],",",Table2[[#This Row],[Formula Age]],")")</f>
        <v>if(${p_weight}&gt;0,if(${p_weight_age}&gt;=3 and ${p_weight_age}&lt;5,"1",if(${p_weight_age}&gt;=5 and ${p_weight_age}&lt;15,"1",if(${p_weight_age}&gt;=15 and ${p_weight_age}&lt;25,"2",if(${p_weight_age}&gt;=25 and ${p_weight_age}&lt;100,"3","--")))),if(${p_age}&gt;= and ${p_age}&lt;,"1",if(${p_age}&gt;= and ${p_age}&lt;,"1",if(${p_age}&gt;= and ${p_age}&lt;,"2",if(${p_age}&gt;= and ${p_age}&lt;,"3","--")))))</v>
      </c>
      <c r="K127" s="2" t="str">
        <f>GenerateDrugString(Table2[[#This Row],[Min_weight_kg]],Table2[[#This Row],[Max_weight_kg]],Table2[[#This Row],[rate]],Table35[kg])</f>
        <v>1 1 1 1</v>
      </c>
      <c r="L127" s="2" t="str">
        <f>CONCATENATE(Table2[[#This Row],[drugStringLine]],IF(TRIM(Table2[[#This Row],[drugStringLine]])="",""," "),IF(Table2[[#This Row],[drug]]=A128,L128,""))</f>
        <v xml:space="preserve">1 1 1 1 1 1 1 1 1 1 1 1 1 1 2 2 3 </v>
      </c>
    </row>
    <row r="128" spans="1:12">
      <c r="A128" t="s">
        <v>56</v>
      </c>
      <c r="B128" t="str">
        <f>IF(Table2[[#This Row],[drug]]&lt;&gt;A127,Table2[[#This Row],[drug]],"")</f>
        <v/>
      </c>
      <c r="C128">
        <v>5</v>
      </c>
      <c r="D128">
        <v>15</v>
      </c>
      <c r="G128">
        <v>1</v>
      </c>
      <c r="H128" s="2" t="str">
        <f>CONCATENATE("if(${p_weight_age}&gt;=",Table2[[#This Row],[Min_weight_kg]]," and ${p_weight_age}&lt;",Table2[[#This Row],[Max_weight_kg]],",""",Table2[[#This Row],[rate]],""",",IF(Table2[[#This Row],[drug]]=A129,H129,"""--"""),")")</f>
        <v>if(${p_weight_age}&gt;=5 and ${p_weight_age}&lt;15,"1",if(${p_weight_age}&gt;=15 and ${p_weight_age}&lt;25,"2",if(${p_weight_age}&gt;=25 and ${p_weight_age}&lt;100,"3","--")))</v>
      </c>
      <c r="I128" s="2" t="str">
        <f>CONCATENATE("if(${p_age}&gt;=",Table2[[#This Row],[Min_age_months]]," and ${p_age}&lt;",Table2[[#This Row],[Max_age_months]],",""",Table2[[#This Row],[rate]],""",",IF(Table2[[#This Row],[drug]]=A129,I129,"""--"""),")")</f>
        <v>if(${p_age}&gt;= and ${p_age}&lt;,"1",if(${p_age}&gt;= and ${p_age}&lt;,"2",if(${p_age}&gt;= and ${p_age}&lt;,"3","--")))</v>
      </c>
      <c r="J128" s="2" t="str">
        <f>CONCATENATE("if(${p_weight}&gt;0,",Table2[[#This Row],[Formula weight]],",",Table2[[#This Row],[Formula Age]],")")</f>
        <v>if(${p_weight}&gt;0,if(${p_weight_age}&gt;=5 and ${p_weight_age}&lt;15,"1",if(${p_weight_age}&gt;=15 and ${p_weight_age}&lt;25,"2",if(${p_weight_age}&gt;=25 and ${p_weight_age}&lt;100,"3","--"))),if(${p_age}&gt;= and ${p_age}&lt;,"1",if(${p_age}&gt;= and ${p_age}&lt;,"2",if(${p_age}&gt;= and ${p_age}&lt;,"3","--"))))</v>
      </c>
      <c r="K128" s="2" t="str">
        <f>GenerateDrugString(Table2[[#This Row],[Min_weight_kg]],Table2[[#This Row],[Max_weight_kg]],Table2[[#This Row],[rate]],Table35[kg])</f>
        <v>1 1 1 1 1 1 1 1 1 1</v>
      </c>
      <c r="L128" s="2" t="str">
        <f>CONCATENATE(Table2[[#This Row],[drugStringLine]],IF(TRIM(Table2[[#This Row],[drugStringLine]])="",""," "),IF(Table2[[#This Row],[drug]]=A129,L129,""))</f>
        <v xml:space="preserve">1 1 1 1 1 1 1 1 1 1 2 2 3 </v>
      </c>
    </row>
    <row r="129" spans="1:12">
      <c r="A129" t="s">
        <v>56</v>
      </c>
      <c r="B129" t="str">
        <f>IF(Table2[[#This Row],[drug]]&lt;&gt;A128,Table2[[#This Row],[drug]],"")</f>
        <v/>
      </c>
      <c r="C129">
        <v>15</v>
      </c>
      <c r="D129">
        <v>25</v>
      </c>
      <c r="G129">
        <v>2</v>
      </c>
      <c r="H129" s="2" t="str">
        <f>CONCATENATE("if(${p_weight_age}&gt;=",Table2[[#This Row],[Min_weight_kg]]," and ${p_weight_age}&lt;",Table2[[#This Row],[Max_weight_kg]],",""",Table2[[#This Row],[rate]],""",",IF(Table2[[#This Row],[drug]]=A130,H130,"""--"""),")")</f>
        <v>if(${p_weight_age}&gt;=15 and ${p_weight_age}&lt;25,"2",if(${p_weight_age}&gt;=25 and ${p_weight_age}&lt;100,"3","--"))</v>
      </c>
      <c r="I129" s="2" t="str">
        <f>CONCATENATE("if(${p_age}&gt;=",Table2[[#This Row],[Min_age_months]]," and ${p_age}&lt;",Table2[[#This Row],[Max_age_months]],",""",Table2[[#This Row],[rate]],""",",IF(Table2[[#This Row],[drug]]=A130,I130,"""--"""),")")</f>
        <v>if(${p_age}&gt;= and ${p_age}&lt;,"2",if(${p_age}&gt;= and ${p_age}&lt;,"3","--"))</v>
      </c>
      <c r="J129" s="2" t="str">
        <f>CONCATENATE("if(${p_weight}&gt;0,",Table2[[#This Row],[Formula weight]],",",Table2[[#This Row],[Formula Age]],")")</f>
        <v>if(${p_weight}&gt;0,if(${p_weight_age}&gt;=15 and ${p_weight_age}&lt;25,"2",if(${p_weight_age}&gt;=25 and ${p_weight_age}&lt;100,"3","--")),if(${p_age}&gt;= and ${p_age}&lt;,"2",if(${p_age}&gt;= and ${p_age}&lt;,"3","--")))</v>
      </c>
      <c r="K129" s="2" t="str">
        <f>GenerateDrugString(Table2[[#This Row],[Min_weight_kg]],Table2[[#This Row],[Max_weight_kg]],Table2[[#This Row],[rate]],Table35[kg])</f>
        <v>2 2</v>
      </c>
      <c r="L129" s="2" t="str">
        <f>CONCATENATE(Table2[[#This Row],[drugStringLine]],IF(TRIM(Table2[[#This Row],[drugStringLine]])="",""," "),IF(Table2[[#This Row],[drug]]=A130,L130,""))</f>
        <v xml:space="preserve">2 2 3 </v>
      </c>
    </row>
    <row r="130" spans="1:12">
      <c r="A130" t="s">
        <v>56</v>
      </c>
      <c r="B130" t="str">
        <f>IF(Table2[[#This Row],[drug]]&lt;&gt;A129,Table2[[#This Row],[drug]],"")</f>
        <v/>
      </c>
      <c r="C130">
        <v>25</v>
      </c>
      <c r="D130">
        <v>100</v>
      </c>
      <c r="G130">
        <v>3</v>
      </c>
      <c r="H130" s="2" t="str">
        <f>CONCATENATE("if(${p_weight_age}&gt;=",Table2[[#This Row],[Min_weight_kg]]," and ${p_weight_age}&lt;",Table2[[#This Row],[Max_weight_kg]],",""",Table2[[#This Row],[rate]],""",",IF(Table2[[#This Row],[drug]]=A131,H131,"""--"""),")")</f>
        <v>if(${p_weight_age}&gt;=25 and ${p_weight_age}&lt;100,"3","--")</v>
      </c>
      <c r="I130" s="2" t="str">
        <f>CONCATENATE("if(${p_age}&gt;=",Table2[[#This Row],[Min_age_months]]," and ${p_age}&lt;",Table2[[#This Row],[Max_age_months]],",""",Table2[[#This Row],[rate]],""",",IF(Table2[[#This Row],[drug]]=A131,I131,"""--"""),")")</f>
        <v>if(${p_age}&gt;= and ${p_age}&lt;,"3","--")</v>
      </c>
      <c r="J130" s="2" t="str">
        <f>CONCATENATE("if(${p_weight}&gt;0,",Table2[[#This Row],[Formula weight]],",",Table2[[#This Row],[Formula Age]],")")</f>
        <v>if(${p_weight}&gt;0,if(${p_weight_age}&gt;=25 and ${p_weight_age}&lt;100,"3","--"),if(${p_age}&gt;= and ${p_age}&lt;,"3","--"))</v>
      </c>
      <c r="K130" s="2" t="str">
        <f>GenerateDrugString(Table2[[#This Row],[Min_weight_kg]],Table2[[#This Row],[Max_weight_kg]],Table2[[#This Row],[rate]],Table35[kg])</f>
        <v>3</v>
      </c>
      <c r="L130" s="2" t="str">
        <f>CONCATENATE(Table2[[#This Row],[drugStringLine]],IF(TRIM(Table2[[#This Row],[drugStringLine]])="",""," "),IF(Table2[[#This Row],[drug]]=A131,L131,""))</f>
        <v xml:space="preserve">3 </v>
      </c>
    </row>
    <row r="131" spans="1:12">
      <c r="A131" t="s">
        <v>43</v>
      </c>
      <c r="B131" t="str">
        <f>IF(Table2[[#This Row],[drug]]&lt;&gt;A130,Table2[[#This Row],[drug]],"")</f>
        <v>gentamicin_ml</v>
      </c>
      <c r="C131">
        <v>0</v>
      </c>
      <c r="D131">
        <v>4</v>
      </c>
      <c r="E131">
        <v>0</v>
      </c>
      <c r="F131">
        <v>2</v>
      </c>
      <c r="G131">
        <v>0</v>
      </c>
      <c r="H131" s="2" t="str">
        <f>CONCATENATE("if(${p_weight_age}&gt;=",Table2[[#This Row],[Min_weight_kg]]," and ${p_weight_age}&lt;",Table2[[#This Row],[Max_weight_kg]],",""",Table2[[#This Row],[rate]],""",",IF(Table2[[#This Row],[drug]]=A132,H132,"""--"""),")")</f>
        <v>if(${p_weight_age}&gt;=0 and ${p_weight_age}&lt;4,"0",if(${p_weight_age}&gt;=4 and ${p_weight_age}&lt;6,"3",if(${p_weight_age}&gt;=6 and ${p_weight_age}&lt;8,"4.5",if(${p_weight_age}&gt;=8 and ${p_weight_age}&lt;10,"6",if(${p_weight_age}&gt;=10 and ${p_weight_age}&lt;14,"7.5",if(${p_weight_age}&gt;=14 and ${p_weight_age}&lt;100,"10","--"))))))</v>
      </c>
      <c r="I131" s="2" t="str">
        <f>CONCATENATE("if(${p_age}&gt;=",Table2[[#This Row],[Min_age_months]]," and ${p_age}&lt;",Table2[[#This Row],[Max_age_months]],",""",Table2[[#This Row],[rate]],""",",IF(Table2[[#This Row],[drug]]=A132,I132,"""--"""),")")</f>
        <v>if(${p_age}&gt;=0 and ${p_age}&lt;2,"0",if(${p_age}&gt;=2 and ${p_age}&lt;4,"3",if(${p_age}&gt;=4 and ${p_age}&lt;9,"4.5",if(${p_age}&gt;=9 and ${p_age}&lt;12,"6",if(${p_age}&gt;=12 and ${p_age}&lt;36,"7.5",if(${p_age}&gt;=36 and ${p_age}&lt;61,"10","--"))))))</v>
      </c>
      <c r="J131" s="2" t="str">
        <f>CONCATENATE("if(${p_weight}&gt;0,",Table2[[#This Row],[Formula weight]],",",Table2[[#This Row],[Formula Age]],")")</f>
        <v>if(${p_weight}&gt;0,if(${p_weight_age}&gt;=0 and ${p_weight_age}&lt;4,"0",if(${p_weight_age}&gt;=4 and ${p_weight_age}&lt;6,"3",if(${p_weight_age}&gt;=6 and ${p_weight_age}&lt;8,"4.5",if(${p_weight_age}&gt;=8 and ${p_weight_age}&lt;10,"6",if(${p_weight_age}&gt;=10 and ${p_weight_age}&lt;14,"7.5",if(${p_weight_age}&gt;=14 and ${p_weight_age}&lt;100,"10","--")))))),if(${p_age}&gt;=0 and ${p_age}&lt;2,"0",if(${p_age}&gt;=2 and ${p_age}&lt;4,"3",if(${p_age}&gt;=4 and ${p_age}&lt;9,"4.5",if(${p_age}&gt;=9 and ${p_age}&lt;12,"6",if(${p_age}&gt;=12 and ${p_age}&lt;36,"7.5",if(${p_age}&gt;=36 and ${p_age}&lt;61,"10","--")))))))</v>
      </c>
      <c r="K131" s="2" t="str">
        <f>GenerateDrugString(Table2[[#This Row],[Min_weight_kg]],Table2[[#This Row],[Max_weight_kg]],Table2[[#This Row],[rate]],Table35[kg])</f>
        <v>0 0 0</v>
      </c>
      <c r="L131" s="2" t="str">
        <f>CONCATENATE(Table2[[#This Row],[drugStringLine]],IF(TRIM(Table2[[#This Row],[drugStringLine]])="",""," "),IF(Table2[[#This Row],[drug]]=A132,L132,""))</f>
        <v xml:space="preserve">0 0 0 3 3 3 4.5 4.5 6 6 6 7.5 7.5 7.5 10 10 10 10 </v>
      </c>
    </row>
    <row r="132" spans="1:12">
      <c r="A132" t="s">
        <v>43</v>
      </c>
      <c r="B132" t="str">
        <f>IF(Table2[[#This Row],[drug]]&lt;&gt;A131,Table2[[#This Row],[drug]],"")</f>
        <v/>
      </c>
      <c r="C132">
        <v>4</v>
      </c>
      <c r="D132">
        <v>6</v>
      </c>
      <c r="E132">
        <v>2</v>
      </c>
      <c r="F132">
        <v>4</v>
      </c>
      <c r="G132">
        <v>3</v>
      </c>
      <c r="H132" s="2" t="str">
        <f>CONCATENATE("if(${p_weight_age}&gt;=",Table2[[#This Row],[Min_weight_kg]]," and ${p_weight_age}&lt;",Table2[[#This Row],[Max_weight_kg]],",""",Table2[[#This Row],[rate]],""",",IF(Table2[[#This Row],[drug]]=A133,H133,"""--"""),")")</f>
        <v>if(${p_weight_age}&gt;=4 and ${p_weight_age}&lt;6,"3",if(${p_weight_age}&gt;=6 and ${p_weight_age}&lt;8,"4.5",if(${p_weight_age}&gt;=8 and ${p_weight_age}&lt;10,"6",if(${p_weight_age}&gt;=10 and ${p_weight_age}&lt;14,"7.5",if(${p_weight_age}&gt;=14 and ${p_weight_age}&lt;100,"10","--")))))</v>
      </c>
      <c r="I132" s="2" t="str">
        <f>CONCATENATE("if(${p_age}&gt;=",Table2[[#This Row],[Min_age_months]]," and ${p_age}&lt;",Table2[[#This Row],[Max_age_months]],",""",Table2[[#This Row],[rate]],""",",IF(Table2[[#This Row],[drug]]=A133,I133,"""--"""),")")</f>
        <v>if(${p_age}&gt;=2 and ${p_age}&lt;4,"3",if(${p_age}&gt;=4 and ${p_age}&lt;9,"4.5",if(${p_age}&gt;=9 and ${p_age}&lt;12,"6",if(${p_age}&gt;=12 and ${p_age}&lt;36,"7.5",if(${p_age}&gt;=36 and ${p_age}&lt;61,"10","--")))))</v>
      </c>
      <c r="J132" s="2" t="str">
        <f>CONCATENATE("if(${p_weight}&gt;0,",Table2[[#This Row],[Formula weight]],",",Table2[[#This Row],[Formula Age]],")")</f>
        <v>if(${p_weight}&gt;0,if(${p_weight_age}&gt;=4 and ${p_weight_age}&lt;6,"3",if(${p_weight_age}&gt;=6 and ${p_weight_age}&lt;8,"4.5",if(${p_weight_age}&gt;=8 and ${p_weight_age}&lt;10,"6",if(${p_weight_age}&gt;=10 and ${p_weight_age}&lt;14,"7.5",if(${p_weight_age}&gt;=14 and ${p_weight_age}&lt;100,"10","--"))))),if(${p_age}&gt;=2 and ${p_age}&lt;4,"3",if(${p_age}&gt;=4 and ${p_age}&lt;9,"4.5",if(${p_age}&gt;=9 and ${p_age}&lt;12,"6",if(${p_age}&gt;=12 and ${p_age}&lt;36,"7.5",if(${p_age}&gt;=36 and ${p_age}&lt;61,"10","--"))))))</v>
      </c>
      <c r="K132" s="2" t="str">
        <f>GenerateDrugString(Table2[[#This Row],[Min_weight_kg]],Table2[[#This Row],[Max_weight_kg]],Table2[[#This Row],[rate]],Table35[kg])</f>
        <v>3 3 3</v>
      </c>
      <c r="L132" s="2" t="str">
        <f>CONCATENATE(Table2[[#This Row],[drugStringLine]],IF(TRIM(Table2[[#This Row],[drugStringLine]])="",""," "),IF(Table2[[#This Row],[drug]]=A133,L133,""))</f>
        <v xml:space="preserve">3 3 3 4.5 4.5 6 6 6 7.5 7.5 7.5 10 10 10 10 </v>
      </c>
    </row>
    <row r="133" spans="1:12">
      <c r="A133" t="s">
        <v>43</v>
      </c>
      <c r="B133" t="str">
        <f>IF(Table2[[#This Row],[drug]]&lt;&gt;A132,Table2[[#This Row],[drug]],"")</f>
        <v/>
      </c>
      <c r="C133">
        <v>6</v>
      </c>
      <c r="D133">
        <v>8</v>
      </c>
      <c r="E133">
        <v>4</v>
      </c>
      <c r="F133">
        <v>9</v>
      </c>
      <c r="G133">
        <v>4.5</v>
      </c>
      <c r="H133" s="2" t="str">
        <f>CONCATENATE("if(${p_weight_age}&gt;=",Table2[[#This Row],[Min_weight_kg]]," and ${p_weight_age}&lt;",Table2[[#This Row],[Max_weight_kg]],",""",Table2[[#This Row],[rate]],""",",IF(Table2[[#This Row],[drug]]=A134,H134,"""--"""),")")</f>
        <v>if(${p_weight_age}&gt;=6 and ${p_weight_age}&lt;8,"4.5",if(${p_weight_age}&gt;=8 and ${p_weight_age}&lt;10,"6",if(${p_weight_age}&gt;=10 and ${p_weight_age}&lt;14,"7.5",if(${p_weight_age}&gt;=14 and ${p_weight_age}&lt;100,"10","--"))))</v>
      </c>
      <c r="I133" s="2" t="str">
        <f>CONCATENATE("if(${p_age}&gt;=",Table2[[#This Row],[Min_age_months]]," and ${p_age}&lt;",Table2[[#This Row],[Max_age_months]],",""",Table2[[#This Row],[rate]],""",",IF(Table2[[#This Row],[drug]]=A134,I134,"""--"""),")")</f>
        <v>if(${p_age}&gt;=4 and ${p_age}&lt;9,"4.5",if(${p_age}&gt;=9 and ${p_age}&lt;12,"6",if(${p_age}&gt;=12 and ${p_age}&lt;36,"7.5",if(${p_age}&gt;=36 and ${p_age}&lt;61,"10","--"))))</v>
      </c>
      <c r="J133" s="2" t="str">
        <f>CONCATENATE("if(${p_weight}&gt;0,",Table2[[#This Row],[Formula weight]],",",Table2[[#This Row],[Formula Age]],")")</f>
        <v>if(${p_weight}&gt;0,if(${p_weight_age}&gt;=6 and ${p_weight_age}&lt;8,"4.5",if(${p_weight_age}&gt;=8 and ${p_weight_age}&lt;10,"6",if(${p_weight_age}&gt;=10 and ${p_weight_age}&lt;14,"7.5",if(${p_weight_age}&gt;=14 and ${p_weight_age}&lt;100,"10","--")))),if(${p_age}&gt;=4 and ${p_age}&lt;9,"4.5",if(${p_age}&gt;=9 and ${p_age}&lt;12,"6",if(${p_age}&gt;=12 and ${p_age}&lt;36,"7.5",if(${p_age}&gt;=36 and ${p_age}&lt;61,"10","--")))))</v>
      </c>
      <c r="K133" s="2" t="str">
        <f>GenerateDrugString(Table2[[#This Row],[Min_weight_kg]],Table2[[#This Row],[Max_weight_kg]],Table2[[#This Row],[rate]],Table35[kg])</f>
        <v>4.5 4.5</v>
      </c>
      <c r="L133" s="2" t="str">
        <f>CONCATENATE(Table2[[#This Row],[drugStringLine]],IF(TRIM(Table2[[#This Row],[drugStringLine]])="",""," "),IF(Table2[[#This Row],[drug]]=A134,L134,""))</f>
        <v xml:space="preserve">4.5 4.5 6 6 6 7.5 7.5 7.5 10 10 10 10 </v>
      </c>
    </row>
    <row r="134" spans="1:12">
      <c r="A134" t="s">
        <v>43</v>
      </c>
      <c r="B134" t="str">
        <f>IF(Table2[[#This Row],[drug]]&lt;&gt;A133,Table2[[#This Row],[drug]],"")</f>
        <v/>
      </c>
      <c r="C134">
        <v>8</v>
      </c>
      <c r="D134">
        <v>10</v>
      </c>
      <c r="E134">
        <v>9</v>
      </c>
      <c r="F134">
        <v>12</v>
      </c>
      <c r="G134">
        <v>6</v>
      </c>
      <c r="H134" s="2" t="str">
        <f>CONCATENATE("if(${p_weight_age}&gt;=",Table2[[#This Row],[Min_weight_kg]]," and ${p_weight_age}&lt;",Table2[[#This Row],[Max_weight_kg]],",""",Table2[[#This Row],[rate]],""",",IF(Table2[[#This Row],[drug]]=A135,H135,"""--"""),")")</f>
        <v>if(${p_weight_age}&gt;=8 and ${p_weight_age}&lt;10,"6",if(${p_weight_age}&gt;=10 and ${p_weight_age}&lt;14,"7.5",if(${p_weight_age}&gt;=14 and ${p_weight_age}&lt;100,"10","--")))</v>
      </c>
      <c r="I134" s="2" t="str">
        <f>CONCATENATE("if(${p_age}&gt;=",Table2[[#This Row],[Min_age_months]]," and ${p_age}&lt;",Table2[[#This Row],[Max_age_months]],",""",Table2[[#This Row],[rate]],""",",IF(Table2[[#This Row],[drug]]=A135,I135,"""--"""),")")</f>
        <v>if(${p_age}&gt;=9 and ${p_age}&lt;12,"6",if(${p_age}&gt;=12 and ${p_age}&lt;36,"7.5",if(${p_age}&gt;=36 and ${p_age}&lt;61,"10","--")))</v>
      </c>
      <c r="J134" s="2" t="str">
        <f>CONCATENATE("if(${p_weight}&gt;0,",Table2[[#This Row],[Formula weight]],",",Table2[[#This Row],[Formula Age]],")")</f>
        <v>if(${p_weight}&gt;0,if(${p_weight_age}&gt;=8 and ${p_weight_age}&lt;10,"6",if(${p_weight_age}&gt;=10 and ${p_weight_age}&lt;14,"7.5",if(${p_weight_age}&gt;=14 and ${p_weight_age}&lt;100,"10","--"))),if(${p_age}&gt;=9 and ${p_age}&lt;12,"6",if(${p_age}&gt;=12 and ${p_age}&lt;36,"7.5",if(${p_age}&gt;=36 and ${p_age}&lt;61,"10","--"))))</v>
      </c>
      <c r="K134" s="2" t="str">
        <f>GenerateDrugString(Table2[[#This Row],[Min_weight_kg]],Table2[[#This Row],[Max_weight_kg]],Table2[[#This Row],[rate]],Table35[kg])</f>
        <v>6 6 6</v>
      </c>
      <c r="L134" s="2" t="str">
        <f>CONCATENATE(Table2[[#This Row],[drugStringLine]],IF(TRIM(Table2[[#This Row],[drugStringLine]])="",""," "),IF(Table2[[#This Row],[drug]]=A135,L135,""))</f>
        <v xml:space="preserve">6 6 6 7.5 7.5 7.5 10 10 10 10 </v>
      </c>
    </row>
    <row r="135" spans="1:12">
      <c r="A135" t="s">
        <v>43</v>
      </c>
      <c r="B135" t="str">
        <f>IF(Table2[[#This Row],[drug]]&lt;&gt;A134,Table2[[#This Row],[drug]],"")</f>
        <v/>
      </c>
      <c r="C135">
        <v>10</v>
      </c>
      <c r="D135">
        <v>14</v>
      </c>
      <c r="E135">
        <v>12</v>
      </c>
      <c r="F135">
        <v>36</v>
      </c>
      <c r="G135">
        <v>7.5</v>
      </c>
      <c r="H135" s="2" t="str">
        <f>CONCATENATE("if(${p_weight_age}&gt;=",Table2[[#This Row],[Min_weight_kg]]," and ${p_weight_age}&lt;",Table2[[#This Row],[Max_weight_kg]],",""",Table2[[#This Row],[rate]],""",",IF(Table2[[#This Row],[drug]]=A136,H136,"""--"""),")")</f>
        <v>if(${p_weight_age}&gt;=10 and ${p_weight_age}&lt;14,"7.5",if(${p_weight_age}&gt;=14 and ${p_weight_age}&lt;100,"10","--"))</v>
      </c>
      <c r="I135" s="2" t="str">
        <f>CONCATENATE("if(${p_age}&gt;=",Table2[[#This Row],[Min_age_months]]," and ${p_age}&lt;",Table2[[#This Row],[Max_age_months]],",""",Table2[[#This Row],[rate]],""",",IF(Table2[[#This Row],[drug]]=A136,I136,"""--"""),")")</f>
        <v>if(${p_age}&gt;=12 and ${p_age}&lt;36,"7.5",if(${p_age}&gt;=36 and ${p_age}&lt;61,"10","--"))</v>
      </c>
      <c r="J135" s="2" t="str">
        <f>CONCATENATE("if(${p_weight}&gt;0,",Table2[[#This Row],[Formula weight]],",",Table2[[#This Row],[Formula Age]],")")</f>
        <v>if(${p_weight}&gt;0,if(${p_weight_age}&gt;=10 and ${p_weight_age}&lt;14,"7.5",if(${p_weight_age}&gt;=14 and ${p_weight_age}&lt;100,"10","--")),if(${p_age}&gt;=12 and ${p_age}&lt;36,"7.5",if(${p_age}&gt;=36 and ${p_age}&lt;61,"10","--")))</v>
      </c>
      <c r="K135" s="2" t="str">
        <f>GenerateDrugString(Table2[[#This Row],[Min_weight_kg]],Table2[[#This Row],[Max_weight_kg]],Table2[[#This Row],[rate]],Table35[kg])</f>
        <v>7.5 7.5 7.5</v>
      </c>
      <c r="L135" s="2" t="str">
        <f>CONCATENATE(Table2[[#This Row],[drugStringLine]],IF(TRIM(Table2[[#This Row],[drugStringLine]])="",""," "),IF(Table2[[#This Row],[drug]]=A136,L136,""))</f>
        <v xml:space="preserve">7.5 7.5 7.5 10 10 10 10 </v>
      </c>
    </row>
    <row r="136" spans="1:12">
      <c r="A136" t="s">
        <v>43</v>
      </c>
      <c r="B136" t="str">
        <f>IF(Table2[[#This Row],[drug]]&lt;&gt;A135,Table2[[#This Row],[drug]],"")</f>
        <v/>
      </c>
      <c r="C136">
        <v>14</v>
      </c>
      <c r="D136">
        <v>100</v>
      </c>
      <c r="E136">
        <v>36</v>
      </c>
      <c r="F136">
        <v>61</v>
      </c>
      <c r="G136">
        <v>10</v>
      </c>
      <c r="H136" s="2" t="str">
        <f>CONCATENATE("if(${p_weight_age}&gt;=",Table2[[#This Row],[Min_weight_kg]]," and ${p_weight_age}&lt;",Table2[[#This Row],[Max_weight_kg]],",""",Table2[[#This Row],[rate]],""",",IF(Table2[[#This Row],[drug]]=A137,H137,"""--"""),")")</f>
        <v>if(${p_weight_age}&gt;=14 and ${p_weight_age}&lt;100,"10","--")</v>
      </c>
      <c r="I136" s="2" t="str">
        <f>CONCATENATE("if(${p_age}&gt;=",Table2[[#This Row],[Min_age_months]]," and ${p_age}&lt;",Table2[[#This Row],[Max_age_months]],",""",Table2[[#This Row],[rate]],""",",IF(Table2[[#This Row],[drug]]=A137,I137,"""--"""),")")</f>
        <v>if(${p_age}&gt;=36 and ${p_age}&lt;61,"10","--")</v>
      </c>
      <c r="J136" s="2" t="str">
        <f>CONCATENATE("if(${p_weight}&gt;0,",Table2[[#This Row],[Formula weight]],",",Table2[[#This Row],[Formula Age]],")")</f>
        <v>if(${p_weight}&gt;0,if(${p_weight_age}&gt;=14 and ${p_weight_age}&lt;100,"10","--"),if(${p_age}&gt;=36 and ${p_age}&lt;61,"10","--"))</v>
      </c>
      <c r="K136" s="2" t="str">
        <f>GenerateDrugString(Table2[[#This Row],[Min_weight_kg]],Table2[[#This Row],[Max_weight_kg]],Table2[[#This Row],[rate]],Table35[kg])</f>
        <v>10 10 10 10</v>
      </c>
      <c r="L136" s="2" t="str">
        <f>CONCATENATE(Table2[[#This Row],[drugStringLine]],IF(TRIM(Table2[[#This Row],[drugStringLine]])="",""," "),IF(Table2[[#This Row],[drug]]=A137,L137,""))</f>
        <v xml:space="preserve">10 10 10 10 </v>
      </c>
    </row>
    <row r="137" spans="1:12">
      <c r="A137" t="s">
        <v>58</v>
      </c>
      <c r="B137" t="str">
        <f>IF(Table2[[#This Row],[drug]]&lt;&gt;A136,Table2[[#This Row],[drug]],"")</f>
        <v>ceftriaxon_80_ml</v>
      </c>
      <c r="C137">
        <v>0</v>
      </c>
      <c r="D137">
        <v>3</v>
      </c>
      <c r="E137">
        <v>0</v>
      </c>
      <c r="F137">
        <v>2</v>
      </c>
      <c r="G137">
        <v>0</v>
      </c>
      <c r="H137" s="2" t="str">
        <f>CONCATENATE("if(${p_weight_age}&gt;=",Table2[[#This Row],[Min_weight_kg]]," and ${p_weight_age}&lt;",Table2[[#This Row],[Max_weight_kg]],",""",Table2[[#This Row],[rate]],""",",IF(Table2[[#This Row],[drug]]=A138,H138,"""--"""),")")</f>
        <v>if(${p_weight_age}&gt;=0 and ${p_weight_age}&lt;3,"0",if(${p_weight_age}&gt;=3 and ${p_weight_age}&lt;4.5,"0.9",if(${p_weight_age}&gt;=4.5 and ${p_weight_age}&lt;6,"1.2",if(${p_weight_age}&gt;=6 and ${p_weight_age}&lt;8,"1.6",if(${p_weight_age}&gt;=8 and ${p_weight_age}&lt;10,"2",if(${p_weight_age}&gt;=10 and ${p_weight_age}&lt;12,"2.4",if(${p_weight_age}&gt;=12 and ${p_weight_age}&lt;15,"3",if(${p_weight_age}&gt;=15 and ${p_weight_age}&lt;20,"4",if(${p_weight_age}&gt;=20 and ${p_weight_age}&lt;100,"5","--")))))))))</v>
      </c>
      <c r="I137" s="2" t="str">
        <f>CONCATENATE("if(${p_age}&gt;=",Table2[[#This Row],[Min_age_months]]," and ${p_age}&lt;",Table2[[#This Row],[Max_age_months]],",""",Table2[[#This Row],[rate]],""",",IF(Table2[[#This Row],[drug]]=A138,I138,"""--"""),")")</f>
        <v>if(${p_age}&gt;=0 and ${p_age}&lt;2,"0",if(${p_age}&gt;=2 and ${p_age}&lt;3,"0.9",if(${p_age}&gt;=3 and ${p_age}&lt;4,"1.2",if(${p_age}&gt;=4 and ${p_age}&lt;10,"1.6",if(${p_age}&gt;=10 and ${p_age}&lt;12,"2",if(${p_age}&gt;=12 and ${p_age}&lt;24,"2.4",if(${p_age}&gt;=24 and ${p_age}&lt;36,"3",if(${p_age}&gt;=36 and ${p_age}&lt;48,"4",if(${p_age}&gt;=48 and ${p_age}&lt;61,"5","--")))))))))</v>
      </c>
      <c r="J137" s="2" t="str">
        <f>CONCATENATE("if(${p_weight}&gt;0,",Table2[[#This Row],[Formula weight]],",",Table2[[#This Row],[Formula Age]],")")</f>
        <v>if(${p_weight}&gt;0,if(${p_weight_age}&gt;=0 and ${p_weight_age}&lt;3,"0",if(${p_weight_age}&gt;=3 and ${p_weight_age}&lt;4.5,"0.9",if(${p_weight_age}&gt;=4.5 and ${p_weight_age}&lt;6,"1.2",if(${p_weight_age}&gt;=6 and ${p_weight_age}&lt;8,"1.6",if(${p_weight_age}&gt;=8 and ${p_weight_age}&lt;10,"2",if(${p_weight_age}&gt;=10 and ${p_weight_age}&lt;12,"2.4",if(${p_weight_age}&gt;=12 and ${p_weight_age}&lt;15,"3",if(${p_weight_age}&gt;=15 and ${p_weight_age}&lt;20,"4",if(${p_weight_age}&gt;=20 and ${p_weight_age}&lt;100,"5","--"))))))))),if(${p_age}&gt;=0 and ${p_age}&lt;2,"0",if(${p_age}&gt;=2 and ${p_age}&lt;3,"0.9",if(${p_age}&gt;=3 and ${p_age}&lt;4,"1.2",if(${p_age}&gt;=4 and ${p_age}&lt;10,"1.6",if(${p_age}&gt;=10 and ${p_age}&lt;12,"2",if(${p_age}&gt;=12 and ${p_age}&lt;24,"2.4",if(${p_age}&gt;=24 and ${p_age}&lt;36,"3",if(${p_age}&gt;=36 and ${p_age}&lt;48,"4",if(${p_age}&gt;=48 and ${p_age}&lt;61,"5","--"))))))))))</v>
      </c>
      <c r="K137" s="2" t="str">
        <f>GenerateDrugString(Table2[[#This Row],[Min_weight_kg]],Table2[[#This Row],[Max_weight_kg]],Table2[[#This Row],[rate]],Table35[kg])</f>
        <v>0</v>
      </c>
      <c r="L137" s="2" t="str">
        <f>CONCATENATE(Table2[[#This Row],[drugStringLine]],IF(TRIM(Table2[[#This Row],[drugStringLine]])="",""," "),IF(Table2[[#This Row],[drug]]=A138,L138,""))</f>
        <v xml:space="preserve">0 0.9 0.9 0.9 1.2 1.2 1.6 1.6 2 2 2 2.4 2.4 3 3 4 5 5 </v>
      </c>
    </row>
    <row r="138" spans="1:12">
      <c r="A138" t="s">
        <v>58</v>
      </c>
      <c r="B138" t="str">
        <f>IF(Table2[[#This Row],[drug]]&lt;&gt;A137,Table2[[#This Row],[drug]],"")</f>
        <v/>
      </c>
      <c r="C138">
        <v>3</v>
      </c>
      <c r="D138">
        <v>4.5</v>
      </c>
      <c r="E138">
        <v>2</v>
      </c>
      <c r="F138">
        <v>3</v>
      </c>
      <c r="G138">
        <v>0.9</v>
      </c>
      <c r="H138" s="2" t="str">
        <f>CONCATENATE("if(${p_weight_age}&gt;=",Table2[[#This Row],[Min_weight_kg]]," and ${p_weight_age}&lt;",Table2[[#This Row],[Max_weight_kg]],",""",Table2[[#This Row],[rate]],""",",IF(Table2[[#This Row],[drug]]=A139,H139,"""--"""),")")</f>
        <v>if(${p_weight_age}&gt;=3 and ${p_weight_age}&lt;4.5,"0.9",if(${p_weight_age}&gt;=4.5 and ${p_weight_age}&lt;6,"1.2",if(${p_weight_age}&gt;=6 and ${p_weight_age}&lt;8,"1.6",if(${p_weight_age}&gt;=8 and ${p_weight_age}&lt;10,"2",if(${p_weight_age}&gt;=10 and ${p_weight_age}&lt;12,"2.4",if(${p_weight_age}&gt;=12 and ${p_weight_age}&lt;15,"3",if(${p_weight_age}&gt;=15 and ${p_weight_age}&lt;20,"4",if(${p_weight_age}&gt;=20 and ${p_weight_age}&lt;100,"5","--"))))))))</v>
      </c>
      <c r="I138" s="2" t="str">
        <f>CONCATENATE("if(${p_age}&gt;=",Table2[[#This Row],[Min_age_months]]," and ${p_age}&lt;",Table2[[#This Row],[Max_age_months]],",""",Table2[[#This Row],[rate]],""",",IF(Table2[[#This Row],[drug]]=A139,I139,"""--"""),")")</f>
        <v>if(${p_age}&gt;=2 and ${p_age}&lt;3,"0.9",if(${p_age}&gt;=3 and ${p_age}&lt;4,"1.2",if(${p_age}&gt;=4 and ${p_age}&lt;10,"1.6",if(${p_age}&gt;=10 and ${p_age}&lt;12,"2",if(${p_age}&gt;=12 and ${p_age}&lt;24,"2.4",if(${p_age}&gt;=24 and ${p_age}&lt;36,"3",if(${p_age}&gt;=36 and ${p_age}&lt;48,"4",if(${p_age}&gt;=48 and ${p_age}&lt;61,"5","--"))))))))</v>
      </c>
      <c r="J138" s="2" t="str">
        <f>CONCATENATE("if(${p_weight}&gt;0,",Table2[[#This Row],[Formula weight]],",",Table2[[#This Row],[Formula Age]],")")</f>
        <v>if(${p_weight}&gt;0,if(${p_weight_age}&gt;=3 and ${p_weight_age}&lt;4.5,"0.9",if(${p_weight_age}&gt;=4.5 and ${p_weight_age}&lt;6,"1.2",if(${p_weight_age}&gt;=6 and ${p_weight_age}&lt;8,"1.6",if(${p_weight_age}&gt;=8 and ${p_weight_age}&lt;10,"2",if(${p_weight_age}&gt;=10 and ${p_weight_age}&lt;12,"2.4",if(${p_weight_age}&gt;=12 and ${p_weight_age}&lt;15,"3",if(${p_weight_age}&gt;=15 and ${p_weight_age}&lt;20,"4",if(${p_weight_age}&gt;=20 and ${p_weight_age}&lt;100,"5","--")))))))),if(${p_age}&gt;=2 and ${p_age}&lt;3,"0.9",if(${p_age}&gt;=3 and ${p_age}&lt;4,"1.2",if(${p_age}&gt;=4 and ${p_age}&lt;10,"1.6",if(${p_age}&gt;=10 and ${p_age}&lt;12,"2",if(${p_age}&gt;=12 and ${p_age}&lt;24,"2.4",if(${p_age}&gt;=24 and ${p_age}&lt;36,"3",if(${p_age}&gt;=36 and ${p_age}&lt;48,"4",if(${p_age}&gt;=48 and ${p_age}&lt;61,"5","--")))))))))</v>
      </c>
      <c r="K138" s="2" t="str">
        <f>GenerateDrugString(Table2[[#This Row],[Min_weight_kg]],Table2[[#This Row],[Max_weight_kg]],Table2[[#This Row],[rate]],Table35[kg])</f>
        <v>0.9 0.9 0.9</v>
      </c>
      <c r="L138" s="2" t="str">
        <f>CONCATENATE(Table2[[#This Row],[drugStringLine]],IF(TRIM(Table2[[#This Row],[drugStringLine]])="",""," "),IF(Table2[[#This Row],[drug]]=A139,L139,""))</f>
        <v xml:space="preserve">0.9 0.9 0.9 1.2 1.2 1.6 1.6 2 2 2 2.4 2.4 3 3 4 5 5 </v>
      </c>
    </row>
    <row r="139" spans="1:12">
      <c r="A139" t="s">
        <v>58</v>
      </c>
      <c r="B139" t="str">
        <f>IF(Table2[[#This Row],[drug]]&lt;&gt;A138,Table2[[#This Row],[drug]],"")</f>
        <v/>
      </c>
      <c r="C139">
        <v>4.5</v>
      </c>
      <c r="D139">
        <v>6</v>
      </c>
      <c r="E139">
        <v>3</v>
      </c>
      <c r="F139">
        <v>4</v>
      </c>
      <c r="G139">
        <v>1.2</v>
      </c>
      <c r="H139" s="2" t="str">
        <f>CONCATENATE("if(${p_weight_age}&gt;=",Table2[[#This Row],[Min_weight_kg]]," and ${p_weight_age}&lt;",Table2[[#This Row],[Max_weight_kg]],",""",Table2[[#This Row],[rate]],""",",IF(Table2[[#This Row],[drug]]=A140,H140,"""--"""),")")</f>
        <v>if(${p_weight_age}&gt;=4.5 and ${p_weight_age}&lt;6,"1.2",if(${p_weight_age}&gt;=6 and ${p_weight_age}&lt;8,"1.6",if(${p_weight_age}&gt;=8 and ${p_weight_age}&lt;10,"2",if(${p_weight_age}&gt;=10 and ${p_weight_age}&lt;12,"2.4",if(${p_weight_age}&gt;=12 and ${p_weight_age}&lt;15,"3",if(${p_weight_age}&gt;=15 and ${p_weight_age}&lt;20,"4",if(${p_weight_age}&gt;=20 and ${p_weight_age}&lt;100,"5","--")))))))</v>
      </c>
      <c r="I139" s="2" t="str">
        <f>CONCATENATE("if(${p_age}&gt;=",Table2[[#This Row],[Min_age_months]]," and ${p_age}&lt;",Table2[[#This Row],[Max_age_months]],",""",Table2[[#This Row],[rate]],""",",IF(Table2[[#This Row],[drug]]=A140,I140,"""--"""),")")</f>
        <v>if(${p_age}&gt;=3 and ${p_age}&lt;4,"1.2",if(${p_age}&gt;=4 and ${p_age}&lt;10,"1.6",if(${p_age}&gt;=10 and ${p_age}&lt;12,"2",if(${p_age}&gt;=12 and ${p_age}&lt;24,"2.4",if(${p_age}&gt;=24 and ${p_age}&lt;36,"3",if(${p_age}&gt;=36 and ${p_age}&lt;48,"4",if(${p_age}&gt;=48 and ${p_age}&lt;61,"5","--")))))))</v>
      </c>
      <c r="J139" s="2" t="str">
        <f>CONCATENATE("if(${p_weight}&gt;0,",Table2[[#This Row],[Formula weight]],",",Table2[[#This Row],[Formula Age]],")")</f>
        <v>if(${p_weight}&gt;0,if(${p_weight_age}&gt;=4.5 and ${p_weight_age}&lt;6,"1.2",if(${p_weight_age}&gt;=6 and ${p_weight_age}&lt;8,"1.6",if(${p_weight_age}&gt;=8 and ${p_weight_age}&lt;10,"2",if(${p_weight_age}&gt;=10 and ${p_weight_age}&lt;12,"2.4",if(${p_weight_age}&gt;=12 and ${p_weight_age}&lt;15,"3",if(${p_weight_age}&gt;=15 and ${p_weight_age}&lt;20,"4",if(${p_weight_age}&gt;=20 and ${p_weight_age}&lt;100,"5","--"))))))),if(${p_age}&gt;=3 and ${p_age}&lt;4,"1.2",if(${p_age}&gt;=4 and ${p_age}&lt;10,"1.6",if(${p_age}&gt;=10 and ${p_age}&lt;12,"2",if(${p_age}&gt;=12 and ${p_age}&lt;24,"2.4",if(${p_age}&gt;=24 and ${p_age}&lt;36,"3",if(${p_age}&gt;=36 and ${p_age}&lt;48,"4",if(${p_age}&gt;=48 and ${p_age}&lt;61,"5","--"))))))))</v>
      </c>
      <c r="K139" s="2" t="str">
        <f>GenerateDrugString(Table2[[#This Row],[Min_weight_kg]],Table2[[#This Row],[Max_weight_kg]],Table2[[#This Row],[rate]],Table35[kg])</f>
        <v>1.2 1.2</v>
      </c>
      <c r="L139" s="2" t="str">
        <f>CONCATENATE(Table2[[#This Row],[drugStringLine]],IF(TRIM(Table2[[#This Row],[drugStringLine]])="",""," "),IF(Table2[[#This Row],[drug]]=A140,L140,""))</f>
        <v xml:space="preserve">1.2 1.2 1.6 1.6 2 2 2 2.4 2.4 3 3 4 5 5 </v>
      </c>
    </row>
    <row r="140" spans="1:12">
      <c r="A140" t="s">
        <v>58</v>
      </c>
      <c r="B140" t="str">
        <f>IF(Table2[[#This Row],[drug]]&lt;&gt;A139,Table2[[#This Row],[drug]],"")</f>
        <v/>
      </c>
      <c r="C140">
        <v>6</v>
      </c>
      <c r="D140">
        <v>8</v>
      </c>
      <c r="E140">
        <v>4</v>
      </c>
      <c r="F140">
        <v>10</v>
      </c>
      <c r="G140">
        <v>1.6</v>
      </c>
      <c r="H140" s="2" t="str">
        <f>CONCATENATE("if(${p_weight_age}&gt;=",Table2[[#This Row],[Min_weight_kg]]," and ${p_weight_age}&lt;",Table2[[#This Row],[Max_weight_kg]],",""",Table2[[#This Row],[rate]],""",",IF(Table2[[#This Row],[drug]]=A141,H141,"""--"""),")")</f>
        <v>if(${p_weight_age}&gt;=6 and ${p_weight_age}&lt;8,"1.6",if(${p_weight_age}&gt;=8 and ${p_weight_age}&lt;10,"2",if(${p_weight_age}&gt;=10 and ${p_weight_age}&lt;12,"2.4",if(${p_weight_age}&gt;=12 and ${p_weight_age}&lt;15,"3",if(${p_weight_age}&gt;=15 and ${p_weight_age}&lt;20,"4",if(${p_weight_age}&gt;=20 and ${p_weight_age}&lt;100,"5","--"))))))</v>
      </c>
      <c r="I140" s="2" t="str">
        <f>CONCATENATE("if(${p_age}&gt;=",Table2[[#This Row],[Min_age_months]]," and ${p_age}&lt;",Table2[[#This Row],[Max_age_months]],",""",Table2[[#This Row],[rate]],""",",IF(Table2[[#This Row],[drug]]=A141,I141,"""--"""),")")</f>
        <v>if(${p_age}&gt;=4 and ${p_age}&lt;10,"1.6",if(${p_age}&gt;=10 and ${p_age}&lt;12,"2",if(${p_age}&gt;=12 and ${p_age}&lt;24,"2.4",if(${p_age}&gt;=24 and ${p_age}&lt;36,"3",if(${p_age}&gt;=36 and ${p_age}&lt;48,"4",if(${p_age}&gt;=48 and ${p_age}&lt;61,"5","--"))))))</v>
      </c>
      <c r="J140" s="2" t="str">
        <f>CONCATENATE("if(${p_weight}&gt;0,",Table2[[#This Row],[Formula weight]],",",Table2[[#This Row],[Formula Age]],")")</f>
        <v>if(${p_weight}&gt;0,if(${p_weight_age}&gt;=6 and ${p_weight_age}&lt;8,"1.6",if(${p_weight_age}&gt;=8 and ${p_weight_age}&lt;10,"2",if(${p_weight_age}&gt;=10 and ${p_weight_age}&lt;12,"2.4",if(${p_weight_age}&gt;=12 and ${p_weight_age}&lt;15,"3",if(${p_weight_age}&gt;=15 and ${p_weight_age}&lt;20,"4",if(${p_weight_age}&gt;=20 and ${p_weight_age}&lt;100,"5","--")))))),if(${p_age}&gt;=4 and ${p_age}&lt;10,"1.6",if(${p_age}&gt;=10 and ${p_age}&lt;12,"2",if(${p_age}&gt;=12 and ${p_age}&lt;24,"2.4",if(${p_age}&gt;=24 and ${p_age}&lt;36,"3",if(${p_age}&gt;=36 and ${p_age}&lt;48,"4",if(${p_age}&gt;=48 and ${p_age}&lt;61,"5","--")))))))</v>
      </c>
      <c r="K140" s="2" t="str">
        <f>GenerateDrugString(Table2[[#This Row],[Min_weight_kg]],Table2[[#This Row],[Max_weight_kg]],Table2[[#This Row],[rate]],Table35[kg])</f>
        <v>1.6 1.6</v>
      </c>
      <c r="L140" s="2" t="str">
        <f>CONCATENATE(Table2[[#This Row],[drugStringLine]],IF(TRIM(Table2[[#This Row],[drugStringLine]])="",""," "),IF(Table2[[#This Row],[drug]]=A141,L141,""))</f>
        <v xml:space="preserve">1.6 1.6 2 2 2 2.4 2.4 3 3 4 5 5 </v>
      </c>
    </row>
    <row r="141" spans="1:12">
      <c r="A141" t="s">
        <v>58</v>
      </c>
      <c r="B141" t="str">
        <f>IF(Table2[[#This Row],[drug]]&lt;&gt;A140,Table2[[#This Row],[drug]],"")</f>
        <v/>
      </c>
      <c r="C141">
        <v>8</v>
      </c>
      <c r="D141">
        <v>10</v>
      </c>
      <c r="E141">
        <v>10</v>
      </c>
      <c r="F141">
        <v>12</v>
      </c>
      <c r="G141">
        <v>2</v>
      </c>
      <c r="H141" s="2" t="str">
        <f>CONCATENATE("if(${p_weight_age}&gt;=",Table2[[#This Row],[Min_weight_kg]]," and ${p_weight_age}&lt;",Table2[[#This Row],[Max_weight_kg]],",""",Table2[[#This Row],[rate]],""",",IF(Table2[[#This Row],[drug]]=A142,H142,"""--"""),")")</f>
        <v>if(${p_weight_age}&gt;=8 and ${p_weight_age}&lt;10,"2",if(${p_weight_age}&gt;=10 and ${p_weight_age}&lt;12,"2.4",if(${p_weight_age}&gt;=12 and ${p_weight_age}&lt;15,"3",if(${p_weight_age}&gt;=15 and ${p_weight_age}&lt;20,"4",if(${p_weight_age}&gt;=20 and ${p_weight_age}&lt;100,"5","--")))))</v>
      </c>
      <c r="I141" s="2" t="str">
        <f>CONCATENATE("if(${p_age}&gt;=",Table2[[#This Row],[Min_age_months]]," and ${p_age}&lt;",Table2[[#This Row],[Max_age_months]],",""",Table2[[#This Row],[rate]],""",",IF(Table2[[#This Row],[drug]]=A142,I142,"""--"""),")")</f>
        <v>if(${p_age}&gt;=10 and ${p_age}&lt;12,"2",if(${p_age}&gt;=12 and ${p_age}&lt;24,"2.4",if(${p_age}&gt;=24 and ${p_age}&lt;36,"3",if(${p_age}&gt;=36 and ${p_age}&lt;48,"4",if(${p_age}&gt;=48 and ${p_age}&lt;61,"5","--")))))</v>
      </c>
      <c r="J141" s="2" t="str">
        <f>CONCATENATE("if(${p_weight}&gt;0,",Table2[[#This Row],[Formula weight]],",",Table2[[#This Row],[Formula Age]],")")</f>
        <v>if(${p_weight}&gt;0,if(${p_weight_age}&gt;=8 and ${p_weight_age}&lt;10,"2",if(${p_weight_age}&gt;=10 and ${p_weight_age}&lt;12,"2.4",if(${p_weight_age}&gt;=12 and ${p_weight_age}&lt;15,"3",if(${p_weight_age}&gt;=15 and ${p_weight_age}&lt;20,"4",if(${p_weight_age}&gt;=20 and ${p_weight_age}&lt;100,"5","--"))))),if(${p_age}&gt;=10 and ${p_age}&lt;12,"2",if(${p_age}&gt;=12 and ${p_age}&lt;24,"2.4",if(${p_age}&gt;=24 and ${p_age}&lt;36,"3",if(${p_age}&gt;=36 and ${p_age}&lt;48,"4",if(${p_age}&gt;=48 and ${p_age}&lt;61,"5","--"))))))</v>
      </c>
      <c r="K141" s="2" t="str">
        <f>GenerateDrugString(Table2[[#This Row],[Min_weight_kg]],Table2[[#This Row],[Max_weight_kg]],Table2[[#This Row],[rate]],Table35[kg])</f>
        <v>2 2 2</v>
      </c>
      <c r="L141" s="2" t="str">
        <f>CONCATENATE(Table2[[#This Row],[drugStringLine]],IF(TRIM(Table2[[#This Row],[drugStringLine]])="",""," "),IF(Table2[[#This Row],[drug]]=A142,L142,""))</f>
        <v xml:space="preserve">2 2 2 2.4 2.4 3 3 4 5 5 </v>
      </c>
    </row>
    <row r="142" spans="1:12">
      <c r="A142" t="s">
        <v>58</v>
      </c>
      <c r="B142" t="str">
        <f>IF(Table2[[#This Row],[drug]]&lt;&gt;A141,Table2[[#This Row],[drug]],"")</f>
        <v/>
      </c>
      <c r="C142">
        <v>10</v>
      </c>
      <c r="D142">
        <v>12</v>
      </c>
      <c r="E142">
        <v>12</v>
      </c>
      <c r="F142">
        <v>24</v>
      </c>
      <c r="G142">
        <v>2.4</v>
      </c>
      <c r="H142" s="2" t="str">
        <f>CONCATENATE("if(${p_weight_age}&gt;=",Table2[[#This Row],[Min_weight_kg]]," and ${p_weight_age}&lt;",Table2[[#This Row],[Max_weight_kg]],",""",Table2[[#This Row],[rate]],""",",IF(Table2[[#This Row],[drug]]=A143,H143,"""--"""),")")</f>
        <v>if(${p_weight_age}&gt;=10 and ${p_weight_age}&lt;12,"2.4",if(${p_weight_age}&gt;=12 and ${p_weight_age}&lt;15,"3",if(${p_weight_age}&gt;=15 and ${p_weight_age}&lt;20,"4",if(${p_weight_age}&gt;=20 and ${p_weight_age}&lt;100,"5","--"))))</v>
      </c>
      <c r="I142" s="2" t="str">
        <f>CONCATENATE("if(${p_age}&gt;=",Table2[[#This Row],[Min_age_months]]," and ${p_age}&lt;",Table2[[#This Row],[Max_age_months]],",""",Table2[[#This Row],[rate]],""",",IF(Table2[[#This Row],[drug]]=A143,I143,"""--"""),")")</f>
        <v>if(${p_age}&gt;=12 and ${p_age}&lt;24,"2.4",if(${p_age}&gt;=24 and ${p_age}&lt;36,"3",if(${p_age}&gt;=36 and ${p_age}&lt;48,"4",if(${p_age}&gt;=48 and ${p_age}&lt;61,"5","--"))))</v>
      </c>
      <c r="J142" s="2" t="str">
        <f>CONCATENATE("if(${p_weight}&gt;0,",Table2[[#This Row],[Formula weight]],",",Table2[[#This Row],[Formula Age]],")")</f>
        <v>if(${p_weight}&gt;0,if(${p_weight_age}&gt;=10 and ${p_weight_age}&lt;12,"2.4",if(${p_weight_age}&gt;=12 and ${p_weight_age}&lt;15,"3",if(${p_weight_age}&gt;=15 and ${p_weight_age}&lt;20,"4",if(${p_weight_age}&gt;=20 and ${p_weight_age}&lt;100,"5","--")))),if(${p_age}&gt;=12 and ${p_age}&lt;24,"2.4",if(${p_age}&gt;=24 and ${p_age}&lt;36,"3",if(${p_age}&gt;=36 and ${p_age}&lt;48,"4",if(${p_age}&gt;=48 and ${p_age}&lt;61,"5","--")))))</v>
      </c>
      <c r="K142" s="2" t="str">
        <f>GenerateDrugString(Table2[[#This Row],[Min_weight_kg]],Table2[[#This Row],[Max_weight_kg]],Table2[[#This Row],[rate]],Table35[kg])</f>
        <v>2.4 2.4</v>
      </c>
      <c r="L142" s="2" t="str">
        <f>CONCATENATE(Table2[[#This Row],[drugStringLine]],IF(TRIM(Table2[[#This Row],[drugStringLine]])="",""," "),IF(Table2[[#This Row],[drug]]=A143,L143,""))</f>
        <v xml:space="preserve">2.4 2.4 3 3 4 5 5 </v>
      </c>
    </row>
    <row r="143" spans="1:12">
      <c r="A143" t="s">
        <v>58</v>
      </c>
      <c r="B143" t="str">
        <f>IF(Table2[[#This Row],[drug]]&lt;&gt;A142,Table2[[#This Row],[drug]],"")</f>
        <v/>
      </c>
      <c r="C143">
        <v>12</v>
      </c>
      <c r="D143">
        <v>15</v>
      </c>
      <c r="E143">
        <v>24</v>
      </c>
      <c r="F143">
        <v>36</v>
      </c>
      <c r="G143">
        <v>3</v>
      </c>
      <c r="H143" s="2" t="str">
        <f>CONCATENATE("if(${p_weight_age}&gt;=",Table2[[#This Row],[Min_weight_kg]]," and ${p_weight_age}&lt;",Table2[[#This Row],[Max_weight_kg]],",""",Table2[[#This Row],[rate]],""",",IF(Table2[[#This Row],[drug]]=A144,H144,"""--"""),")")</f>
        <v>if(${p_weight_age}&gt;=12 and ${p_weight_age}&lt;15,"3",if(${p_weight_age}&gt;=15 and ${p_weight_age}&lt;20,"4",if(${p_weight_age}&gt;=20 and ${p_weight_age}&lt;100,"5","--")))</v>
      </c>
      <c r="I143" s="2" t="str">
        <f>CONCATENATE("if(${p_age}&gt;=",Table2[[#This Row],[Min_age_months]]," and ${p_age}&lt;",Table2[[#This Row],[Max_age_months]],",""",Table2[[#This Row],[rate]],""",",IF(Table2[[#This Row],[drug]]=A144,I144,"""--"""),")")</f>
        <v>if(${p_age}&gt;=24 and ${p_age}&lt;36,"3",if(${p_age}&gt;=36 and ${p_age}&lt;48,"4",if(${p_age}&gt;=48 and ${p_age}&lt;61,"5","--")))</v>
      </c>
      <c r="J143" s="2" t="str">
        <f>CONCATENATE("if(${p_weight}&gt;0,",Table2[[#This Row],[Formula weight]],",",Table2[[#This Row],[Formula Age]],")")</f>
        <v>if(${p_weight}&gt;0,if(${p_weight_age}&gt;=12 and ${p_weight_age}&lt;15,"3",if(${p_weight_age}&gt;=15 and ${p_weight_age}&lt;20,"4",if(${p_weight_age}&gt;=20 and ${p_weight_age}&lt;100,"5","--"))),if(${p_age}&gt;=24 and ${p_age}&lt;36,"3",if(${p_age}&gt;=36 and ${p_age}&lt;48,"4",if(${p_age}&gt;=48 and ${p_age}&lt;61,"5","--"))))</v>
      </c>
      <c r="K143" s="2" t="str">
        <f>GenerateDrugString(Table2[[#This Row],[Min_weight_kg]],Table2[[#This Row],[Max_weight_kg]],Table2[[#This Row],[rate]],Table35[kg])</f>
        <v>3 3</v>
      </c>
      <c r="L143" s="2" t="str">
        <f>CONCATENATE(Table2[[#This Row],[drugStringLine]],IF(TRIM(Table2[[#This Row],[drugStringLine]])="",""," "),IF(Table2[[#This Row],[drug]]=A144,L144,""))</f>
        <v xml:space="preserve">3 3 4 5 5 </v>
      </c>
    </row>
    <row r="144" spans="1:12">
      <c r="A144" t="s">
        <v>58</v>
      </c>
      <c r="B144" t="str">
        <f>IF(Table2[[#This Row],[drug]]&lt;&gt;A143,Table2[[#This Row],[drug]],"")</f>
        <v/>
      </c>
      <c r="C144">
        <v>15</v>
      </c>
      <c r="D144">
        <v>20</v>
      </c>
      <c r="E144">
        <v>36</v>
      </c>
      <c r="F144">
        <v>48</v>
      </c>
      <c r="G144">
        <v>4</v>
      </c>
      <c r="H144" s="2" t="str">
        <f>CONCATENATE("if(${p_weight_age}&gt;=",Table2[[#This Row],[Min_weight_kg]]," and ${p_weight_age}&lt;",Table2[[#This Row],[Max_weight_kg]],",""",Table2[[#This Row],[rate]],""",",IF(Table2[[#This Row],[drug]]=A145,H145,"""--"""),")")</f>
        <v>if(${p_weight_age}&gt;=15 and ${p_weight_age}&lt;20,"4",if(${p_weight_age}&gt;=20 and ${p_weight_age}&lt;100,"5","--"))</v>
      </c>
      <c r="I144" s="2" t="str">
        <f>CONCATENATE("if(${p_age}&gt;=",Table2[[#This Row],[Min_age_months]]," and ${p_age}&lt;",Table2[[#This Row],[Max_age_months]],",""",Table2[[#This Row],[rate]],""",",IF(Table2[[#This Row],[drug]]=A145,I145,"""--"""),")")</f>
        <v>if(${p_age}&gt;=36 and ${p_age}&lt;48,"4",if(${p_age}&gt;=48 and ${p_age}&lt;61,"5","--"))</v>
      </c>
      <c r="J144" s="2" t="str">
        <f>CONCATENATE("if(${p_weight}&gt;0,",Table2[[#This Row],[Formula weight]],",",Table2[[#This Row],[Formula Age]],")")</f>
        <v>if(${p_weight}&gt;0,if(${p_weight_age}&gt;=15 and ${p_weight_age}&lt;20,"4",if(${p_weight_age}&gt;=20 and ${p_weight_age}&lt;100,"5","--")),if(${p_age}&gt;=36 and ${p_age}&lt;48,"4",if(${p_age}&gt;=48 and ${p_age}&lt;61,"5","--")))</v>
      </c>
      <c r="K144" s="2" t="str">
        <f>GenerateDrugString(Table2[[#This Row],[Min_weight_kg]],Table2[[#This Row],[Max_weight_kg]],Table2[[#This Row],[rate]],Table35[kg])</f>
        <v>4</v>
      </c>
      <c r="L144" s="2" t="str">
        <f>CONCATENATE(Table2[[#This Row],[drugStringLine]],IF(TRIM(Table2[[#This Row],[drugStringLine]])="",""," "),IF(Table2[[#This Row],[drug]]=A145,L145,""))</f>
        <v xml:space="preserve">4 5 5 </v>
      </c>
    </row>
    <row r="145" spans="1:12">
      <c r="A145" t="s">
        <v>58</v>
      </c>
      <c r="B145" t="str">
        <f>IF(Table2[[#This Row],[drug]]&lt;&gt;A144,Table2[[#This Row],[drug]],"")</f>
        <v/>
      </c>
      <c r="C145">
        <v>20</v>
      </c>
      <c r="D145">
        <v>100</v>
      </c>
      <c r="E145">
        <v>48</v>
      </c>
      <c r="F145">
        <v>61</v>
      </c>
      <c r="G145">
        <v>5</v>
      </c>
      <c r="H145" s="2" t="str">
        <f>CONCATENATE("if(${p_weight_age}&gt;=",Table2[[#This Row],[Min_weight_kg]]," and ${p_weight_age}&lt;",Table2[[#This Row],[Max_weight_kg]],",""",Table2[[#This Row],[rate]],""",",IF(Table2[[#This Row],[drug]]=A146,H146,"""--"""),")")</f>
        <v>if(${p_weight_age}&gt;=20 and ${p_weight_age}&lt;100,"5","--")</v>
      </c>
      <c r="I145" s="2" t="str">
        <f>CONCATENATE("if(${p_age}&gt;=",Table2[[#This Row],[Min_age_months]]," and ${p_age}&lt;",Table2[[#This Row],[Max_age_months]],",""",Table2[[#This Row],[rate]],""",",IF(Table2[[#This Row],[drug]]=A146,I146,"""--"""),")")</f>
        <v>if(${p_age}&gt;=48 and ${p_age}&lt;61,"5","--")</v>
      </c>
      <c r="J145" s="2" t="str">
        <f>CONCATENATE("if(${p_weight}&gt;0,",Table2[[#This Row],[Formula weight]],",",Table2[[#This Row],[Formula Age]],")")</f>
        <v>if(${p_weight}&gt;0,if(${p_weight_age}&gt;=20 and ${p_weight_age}&lt;100,"5","--"),if(${p_age}&gt;=48 and ${p_age}&lt;61,"5","--"))</v>
      </c>
      <c r="K145" s="2" t="str">
        <f>GenerateDrugString(Table2[[#This Row],[Min_weight_kg]],Table2[[#This Row],[Max_weight_kg]],Table2[[#This Row],[rate]],Table35[kg])</f>
        <v>5 5</v>
      </c>
      <c r="L145" s="2" t="str">
        <f>CONCATENATE(Table2[[#This Row],[drugStringLine]],IF(TRIM(Table2[[#This Row],[drugStringLine]])="",""," "),IF(Table2[[#This Row],[drug]]=A146,L146,""))</f>
        <v xml:space="preserve">5 5 </v>
      </c>
    </row>
    <row r="146" spans="1:12">
      <c r="A146" t="s">
        <v>59</v>
      </c>
      <c r="B146" t="str">
        <f>IF(Table2[[#This Row],[drug]]&lt;&gt;A145,Table2[[#This Row],[drug]],"")</f>
        <v>ceftriaxon_100_ml</v>
      </c>
      <c r="C146">
        <v>0</v>
      </c>
      <c r="D146">
        <v>3</v>
      </c>
      <c r="E146">
        <v>0</v>
      </c>
      <c r="F146">
        <v>2</v>
      </c>
      <c r="G146">
        <v>0</v>
      </c>
      <c r="H146" s="2" t="str">
        <f>CONCATENATE("if(${p_weight_age}&gt;=",Table2[[#This Row],[Min_weight_kg]]," and ${p_weight_age}&lt;",Table2[[#This Row],[Max_weight_kg]],",""",Table2[[#This Row],[rate]],""",",IF(Table2[[#This Row],[drug]]=A147,H147,"""--"""),")")</f>
        <v>if(${p_weight_age}&gt;=0 and ${p_weight_age}&lt;3,"0",if(${p_weight_age}&gt;=3 and ${p_weight_age}&lt;4.5,"1.3",if(${p_weight_age}&gt;=4.5 and ${p_weight_age}&lt;6,"1.8",if(${p_weight_age}&gt;=6 and ${p_weight_age}&lt;8,"2.4",if(${p_weight_age}&gt;=8 and ${p_weight_age}&lt;10,"3",if(${p_weight_age}&gt;=10 and ${p_weight_age}&lt;12,"4",if(${p_weight_age}&gt;=12 and ${p_weight_age}&lt;15,"5",if(${p_weight_age}&gt;=15 and ${p_weight_age}&lt;20,"6",if(${p_weight_age}&gt;=20 and ${p_weight_age}&lt;100,"8","--")))))))))</v>
      </c>
      <c r="I146" s="2" t="str">
        <f>CONCATENATE("if(${p_age}&gt;=",Table2[[#This Row],[Min_age_months]]," and ${p_age}&lt;",Table2[[#This Row],[Max_age_months]],",""",Table2[[#This Row],[rate]],""",",IF(Table2[[#This Row],[drug]]=A147,I147,"""--"""),")")</f>
        <v>if(${p_age}&gt;=0 and ${p_age}&lt;2,"0",if(${p_age}&gt;=2 and ${p_age}&lt;3,"1.3",if(${p_age}&gt;=3 and ${p_age}&lt;4,"1.8",if(${p_age}&gt;=4 and ${p_age}&lt;10,"2.4",if(${p_age}&gt;=10 and ${p_age}&lt;12,"3",if(${p_age}&gt;=12 and ${p_age}&lt;24,"4",if(${p_age}&gt;=24 and ${p_age}&lt;36,"5",if(${p_age}&gt;=36 and ${p_age}&lt;48,"6",if(${p_age}&gt;=48 and ${p_age}&lt;61,"8","--")))))))))</v>
      </c>
      <c r="J146" s="2" t="str">
        <f>CONCATENATE("if(${p_weight}&gt;0,",Table2[[#This Row],[Formula weight]],",",Table2[[#This Row],[Formula Age]],")")</f>
        <v>if(${p_weight}&gt;0,if(${p_weight_age}&gt;=0 and ${p_weight_age}&lt;3,"0",if(${p_weight_age}&gt;=3 and ${p_weight_age}&lt;4.5,"1.3",if(${p_weight_age}&gt;=4.5 and ${p_weight_age}&lt;6,"1.8",if(${p_weight_age}&gt;=6 and ${p_weight_age}&lt;8,"2.4",if(${p_weight_age}&gt;=8 and ${p_weight_age}&lt;10,"3",if(${p_weight_age}&gt;=10 and ${p_weight_age}&lt;12,"4",if(${p_weight_age}&gt;=12 and ${p_weight_age}&lt;15,"5",if(${p_weight_age}&gt;=15 and ${p_weight_age}&lt;20,"6",if(${p_weight_age}&gt;=20 and ${p_weight_age}&lt;100,"8","--"))))))))),if(${p_age}&gt;=0 and ${p_age}&lt;2,"0",if(${p_age}&gt;=2 and ${p_age}&lt;3,"1.3",if(${p_age}&gt;=3 and ${p_age}&lt;4,"1.8",if(${p_age}&gt;=4 and ${p_age}&lt;10,"2.4",if(${p_age}&gt;=10 and ${p_age}&lt;12,"3",if(${p_age}&gt;=12 and ${p_age}&lt;24,"4",if(${p_age}&gt;=24 and ${p_age}&lt;36,"5",if(${p_age}&gt;=36 and ${p_age}&lt;48,"6",if(${p_age}&gt;=48 and ${p_age}&lt;61,"8","--"))))))))))</v>
      </c>
      <c r="K146" s="2" t="str">
        <f>GenerateDrugString(Table2[[#This Row],[Min_weight_kg]],Table2[[#This Row],[Max_weight_kg]],Table2[[#This Row],[rate]],Table35[kg])</f>
        <v>0</v>
      </c>
      <c r="L146" s="2" t="str">
        <f>CONCATENATE(Table2[[#This Row],[drugStringLine]],IF(TRIM(Table2[[#This Row],[drugStringLine]])="",""," "),IF(Table2[[#This Row],[drug]]=A147,L147,""))</f>
        <v xml:space="preserve">0 1.3 1.3 1.3 1.8 1.8 2.4 2.4 3 3 3 4 4 5 5 6 8 8 </v>
      </c>
    </row>
    <row r="147" spans="1:12">
      <c r="A147" t="s">
        <v>59</v>
      </c>
      <c r="B147" t="str">
        <f>IF(Table2[[#This Row],[drug]]&lt;&gt;A146,Table2[[#This Row],[drug]],"")</f>
        <v/>
      </c>
      <c r="C147">
        <v>3</v>
      </c>
      <c r="D147">
        <v>4.5</v>
      </c>
      <c r="E147">
        <v>2</v>
      </c>
      <c r="F147">
        <v>3</v>
      </c>
      <c r="G147">
        <v>1.3</v>
      </c>
      <c r="H147" s="2" t="str">
        <f>CONCATENATE("if(${p_weight_age}&gt;=",Table2[[#This Row],[Min_weight_kg]]," and ${p_weight_age}&lt;",Table2[[#This Row],[Max_weight_kg]],",""",Table2[[#This Row],[rate]],""",",IF(Table2[[#This Row],[drug]]=A148,H148,"""--"""),")")</f>
        <v>if(${p_weight_age}&gt;=3 and ${p_weight_age}&lt;4.5,"1.3",if(${p_weight_age}&gt;=4.5 and ${p_weight_age}&lt;6,"1.8",if(${p_weight_age}&gt;=6 and ${p_weight_age}&lt;8,"2.4",if(${p_weight_age}&gt;=8 and ${p_weight_age}&lt;10,"3",if(${p_weight_age}&gt;=10 and ${p_weight_age}&lt;12,"4",if(${p_weight_age}&gt;=12 and ${p_weight_age}&lt;15,"5",if(${p_weight_age}&gt;=15 and ${p_weight_age}&lt;20,"6",if(${p_weight_age}&gt;=20 and ${p_weight_age}&lt;100,"8","--"))))))))</v>
      </c>
      <c r="I147" s="2" t="str">
        <f>CONCATENATE("if(${p_age}&gt;=",Table2[[#This Row],[Min_age_months]]," and ${p_age}&lt;",Table2[[#This Row],[Max_age_months]],",""",Table2[[#This Row],[rate]],""",",IF(Table2[[#This Row],[drug]]=A148,I148,"""--"""),")")</f>
        <v>if(${p_age}&gt;=2 and ${p_age}&lt;3,"1.3",if(${p_age}&gt;=3 and ${p_age}&lt;4,"1.8",if(${p_age}&gt;=4 and ${p_age}&lt;10,"2.4",if(${p_age}&gt;=10 and ${p_age}&lt;12,"3",if(${p_age}&gt;=12 and ${p_age}&lt;24,"4",if(${p_age}&gt;=24 and ${p_age}&lt;36,"5",if(${p_age}&gt;=36 and ${p_age}&lt;48,"6",if(${p_age}&gt;=48 and ${p_age}&lt;61,"8","--"))))))))</v>
      </c>
      <c r="J147" s="2" t="str">
        <f>CONCATENATE("if(${p_weight}&gt;0,",Table2[[#This Row],[Formula weight]],",",Table2[[#This Row],[Formula Age]],")")</f>
        <v>if(${p_weight}&gt;0,if(${p_weight_age}&gt;=3 and ${p_weight_age}&lt;4.5,"1.3",if(${p_weight_age}&gt;=4.5 and ${p_weight_age}&lt;6,"1.8",if(${p_weight_age}&gt;=6 and ${p_weight_age}&lt;8,"2.4",if(${p_weight_age}&gt;=8 and ${p_weight_age}&lt;10,"3",if(${p_weight_age}&gt;=10 and ${p_weight_age}&lt;12,"4",if(${p_weight_age}&gt;=12 and ${p_weight_age}&lt;15,"5",if(${p_weight_age}&gt;=15 and ${p_weight_age}&lt;20,"6",if(${p_weight_age}&gt;=20 and ${p_weight_age}&lt;100,"8","--")))))))),if(${p_age}&gt;=2 and ${p_age}&lt;3,"1.3",if(${p_age}&gt;=3 and ${p_age}&lt;4,"1.8",if(${p_age}&gt;=4 and ${p_age}&lt;10,"2.4",if(${p_age}&gt;=10 and ${p_age}&lt;12,"3",if(${p_age}&gt;=12 and ${p_age}&lt;24,"4",if(${p_age}&gt;=24 and ${p_age}&lt;36,"5",if(${p_age}&gt;=36 and ${p_age}&lt;48,"6",if(${p_age}&gt;=48 and ${p_age}&lt;61,"8","--")))))))))</v>
      </c>
      <c r="K147" s="2" t="str">
        <f>GenerateDrugString(Table2[[#This Row],[Min_weight_kg]],Table2[[#This Row],[Max_weight_kg]],Table2[[#This Row],[rate]],Table35[kg])</f>
        <v>1.3 1.3 1.3</v>
      </c>
      <c r="L147" s="2" t="str">
        <f>CONCATENATE(Table2[[#This Row],[drugStringLine]],IF(TRIM(Table2[[#This Row],[drugStringLine]])="",""," "),IF(Table2[[#This Row],[drug]]=A148,L148,""))</f>
        <v xml:space="preserve">1.3 1.3 1.3 1.8 1.8 2.4 2.4 3 3 3 4 4 5 5 6 8 8 </v>
      </c>
    </row>
    <row r="148" spans="1:12">
      <c r="A148" t="s">
        <v>59</v>
      </c>
      <c r="B148" t="str">
        <f>IF(Table2[[#This Row],[drug]]&lt;&gt;A147,Table2[[#This Row],[drug]],"")</f>
        <v/>
      </c>
      <c r="C148">
        <v>4.5</v>
      </c>
      <c r="D148">
        <v>6</v>
      </c>
      <c r="E148">
        <v>3</v>
      </c>
      <c r="F148">
        <v>4</v>
      </c>
      <c r="G148">
        <v>1.8</v>
      </c>
      <c r="H148" s="2" t="str">
        <f>CONCATENATE("if(${p_weight_age}&gt;=",Table2[[#This Row],[Min_weight_kg]]," and ${p_weight_age}&lt;",Table2[[#This Row],[Max_weight_kg]],",""",Table2[[#This Row],[rate]],""",",IF(Table2[[#This Row],[drug]]=A149,H149,"""--"""),")")</f>
        <v>if(${p_weight_age}&gt;=4.5 and ${p_weight_age}&lt;6,"1.8",if(${p_weight_age}&gt;=6 and ${p_weight_age}&lt;8,"2.4",if(${p_weight_age}&gt;=8 and ${p_weight_age}&lt;10,"3",if(${p_weight_age}&gt;=10 and ${p_weight_age}&lt;12,"4",if(${p_weight_age}&gt;=12 and ${p_weight_age}&lt;15,"5",if(${p_weight_age}&gt;=15 and ${p_weight_age}&lt;20,"6",if(${p_weight_age}&gt;=20 and ${p_weight_age}&lt;100,"8","--")))))))</v>
      </c>
      <c r="I148" s="2" t="str">
        <f>CONCATENATE("if(${p_age}&gt;=",Table2[[#This Row],[Min_age_months]]," and ${p_age}&lt;",Table2[[#This Row],[Max_age_months]],",""",Table2[[#This Row],[rate]],""",",IF(Table2[[#This Row],[drug]]=A149,I149,"""--"""),")")</f>
        <v>if(${p_age}&gt;=3 and ${p_age}&lt;4,"1.8",if(${p_age}&gt;=4 and ${p_age}&lt;10,"2.4",if(${p_age}&gt;=10 and ${p_age}&lt;12,"3",if(${p_age}&gt;=12 and ${p_age}&lt;24,"4",if(${p_age}&gt;=24 and ${p_age}&lt;36,"5",if(${p_age}&gt;=36 and ${p_age}&lt;48,"6",if(${p_age}&gt;=48 and ${p_age}&lt;61,"8","--")))))))</v>
      </c>
      <c r="J148" s="2" t="str">
        <f>CONCATENATE("if(${p_weight}&gt;0,",Table2[[#This Row],[Formula weight]],",",Table2[[#This Row],[Formula Age]],")")</f>
        <v>if(${p_weight}&gt;0,if(${p_weight_age}&gt;=4.5 and ${p_weight_age}&lt;6,"1.8",if(${p_weight_age}&gt;=6 and ${p_weight_age}&lt;8,"2.4",if(${p_weight_age}&gt;=8 and ${p_weight_age}&lt;10,"3",if(${p_weight_age}&gt;=10 and ${p_weight_age}&lt;12,"4",if(${p_weight_age}&gt;=12 and ${p_weight_age}&lt;15,"5",if(${p_weight_age}&gt;=15 and ${p_weight_age}&lt;20,"6",if(${p_weight_age}&gt;=20 and ${p_weight_age}&lt;100,"8","--"))))))),if(${p_age}&gt;=3 and ${p_age}&lt;4,"1.8",if(${p_age}&gt;=4 and ${p_age}&lt;10,"2.4",if(${p_age}&gt;=10 and ${p_age}&lt;12,"3",if(${p_age}&gt;=12 and ${p_age}&lt;24,"4",if(${p_age}&gt;=24 and ${p_age}&lt;36,"5",if(${p_age}&gt;=36 and ${p_age}&lt;48,"6",if(${p_age}&gt;=48 and ${p_age}&lt;61,"8","--"))))))))</v>
      </c>
      <c r="K148" s="2" t="str">
        <f>GenerateDrugString(Table2[[#This Row],[Min_weight_kg]],Table2[[#This Row],[Max_weight_kg]],Table2[[#This Row],[rate]],Table35[kg])</f>
        <v>1.8 1.8</v>
      </c>
      <c r="L148" s="2" t="str">
        <f>CONCATENATE(Table2[[#This Row],[drugStringLine]],IF(TRIM(Table2[[#This Row],[drugStringLine]])="",""," "),IF(Table2[[#This Row],[drug]]=A149,L149,""))</f>
        <v xml:space="preserve">1.8 1.8 2.4 2.4 3 3 3 4 4 5 5 6 8 8 </v>
      </c>
    </row>
    <row r="149" spans="1:12">
      <c r="A149" t="s">
        <v>59</v>
      </c>
      <c r="B149" t="str">
        <f>IF(Table2[[#This Row],[drug]]&lt;&gt;A148,Table2[[#This Row],[drug]],"")</f>
        <v/>
      </c>
      <c r="C149">
        <v>6</v>
      </c>
      <c r="D149">
        <v>8</v>
      </c>
      <c r="E149">
        <v>4</v>
      </c>
      <c r="F149">
        <v>10</v>
      </c>
      <c r="G149">
        <v>2.4</v>
      </c>
      <c r="H149" s="2" t="str">
        <f>CONCATENATE("if(${p_weight_age}&gt;=",Table2[[#This Row],[Min_weight_kg]]," and ${p_weight_age}&lt;",Table2[[#This Row],[Max_weight_kg]],",""",Table2[[#This Row],[rate]],""",",IF(Table2[[#This Row],[drug]]=A150,H150,"""--"""),")")</f>
        <v>if(${p_weight_age}&gt;=6 and ${p_weight_age}&lt;8,"2.4",if(${p_weight_age}&gt;=8 and ${p_weight_age}&lt;10,"3",if(${p_weight_age}&gt;=10 and ${p_weight_age}&lt;12,"4",if(${p_weight_age}&gt;=12 and ${p_weight_age}&lt;15,"5",if(${p_weight_age}&gt;=15 and ${p_weight_age}&lt;20,"6",if(${p_weight_age}&gt;=20 and ${p_weight_age}&lt;100,"8","--"))))))</v>
      </c>
      <c r="I149" s="2" t="str">
        <f>CONCATENATE("if(${p_age}&gt;=",Table2[[#This Row],[Min_age_months]]," and ${p_age}&lt;",Table2[[#This Row],[Max_age_months]],",""",Table2[[#This Row],[rate]],""",",IF(Table2[[#This Row],[drug]]=A150,I150,"""--"""),")")</f>
        <v>if(${p_age}&gt;=4 and ${p_age}&lt;10,"2.4",if(${p_age}&gt;=10 and ${p_age}&lt;12,"3",if(${p_age}&gt;=12 and ${p_age}&lt;24,"4",if(${p_age}&gt;=24 and ${p_age}&lt;36,"5",if(${p_age}&gt;=36 and ${p_age}&lt;48,"6",if(${p_age}&gt;=48 and ${p_age}&lt;61,"8","--"))))))</v>
      </c>
      <c r="J149" s="2" t="str">
        <f>CONCATENATE("if(${p_weight}&gt;0,",Table2[[#This Row],[Formula weight]],",",Table2[[#This Row],[Formula Age]],")")</f>
        <v>if(${p_weight}&gt;0,if(${p_weight_age}&gt;=6 and ${p_weight_age}&lt;8,"2.4",if(${p_weight_age}&gt;=8 and ${p_weight_age}&lt;10,"3",if(${p_weight_age}&gt;=10 and ${p_weight_age}&lt;12,"4",if(${p_weight_age}&gt;=12 and ${p_weight_age}&lt;15,"5",if(${p_weight_age}&gt;=15 and ${p_weight_age}&lt;20,"6",if(${p_weight_age}&gt;=20 and ${p_weight_age}&lt;100,"8","--")))))),if(${p_age}&gt;=4 and ${p_age}&lt;10,"2.4",if(${p_age}&gt;=10 and ${p_age}&lt;12,"3",if(${p_age}&gt;=12 and ${p_age}&lt;24,"4",if(${p_age}&gt;=24 and ${p_age}&lt;36,"5",if(${p_age}&gt;=36 and ${p_age}&lt;48,"6",if(${p_age}&gt;=48 and ${p_age}&lt;61,"8","--")))))))</v>
      </c>
      <c r="K149" s="2" t="str">
        <f>GenerateDrugString(Table2[[#This Row],[Min_weight_kg]],Table2[[#This Row],[Max_weight_kg]],Table2[[#This Row],[rate]],Table35[kg])</f>
        <v>2.4 2.4</v>
      </c>
      <c r="L149" s="2" t="str">
        <f>CONCATENATE(Table2[[#This Row],[drugStringLine]],IF(TRIM(Table2[[#This Row],[drugStringLine]])="",""," "),IF(Table2[[#This Row],[drug]]=A150,L150,""))</f>
        <v xml:space="preserve">2.4 2.4 3 3 3 4 4 5 5 6 8 8 </v>
      </c>
    </row>
    <row r="150" spans="1:12">
      <c r="A150" t="s">
        <v>59</v>
      </c>
      <c r="B150" t="str">
        <f>IF(Table2[[#This Row],[drug]]&lt;&gt;A149,Table2[[#This Row],[drug]],"")</f>
        <v/>
      </c>
      <c r="C150">
        <v>8</v>
      </c>
      <c r="D150">
        <v>10</v>
      </c>
      <c r="E150">
        <v>10</v>
      </c>
      <c r="F150">
        <v>12</v>
      </c>
      <c r="G150">
        <v>3</v>
      </c>
      <c r="H150" s="2" t="str">
        <f>CONCATENATE("if(${p_weight_age}&gt;=",Table2[[#This Row],[Min_weight_kg]]," and ${p_weight_age}&lt;",Table2[[#This Row],[Max_weight_kg]],",""",Table2[[#This Row],[rate]],""",",IF(Table2[[#This Row],[drug]]=A151,H151,"""--"""),")")</f>
        <v>if(${p_weight_age}&gt;=8 and ${p_weight_age}&lt;10,"3",if(${p_weight_age}&gt;=10 and ${p_weight_age}&lt;12,"4",if(${p_weight_age}&gt;=12 and ${p_weight_age}&lt;15,"5",if(${p_weight_age}&gt;=15 and ${p_weight_age}&lt;20,"6",if(${p_weight_age}&gt;=20 and ${p_weight_age}&lt;100,"8","--")))))</v>
      </c>
      <c r="I150" s="2" t="str">
        <f>CONCATENATE("if(${p_age}&gt;=",Table2[[#This Row],[Min_age_months]]," and ${p_age}&lt;",Table2[[#This Row],[Max_age_months]],",""",Table2[[#This Row],[rate]],""",",IF(Table2[[#This Row],[drug]]=A151,I151,"""--"""),")")</f>
        <v>if(${p_age}&gt;=10 and ${p_age}&lt;12,"3",if(${p_age}&gt;=12 and ${p_age}&lt;24,"4",if(${p_age}&gt;=24 and ${p_age}&lt;36,"5",if(${p_age}&gt;=36 and ${p_age}&lt;48,"6",if(${p_age}&gt;=48 and ${p_age}&lt;61,"8","--")))))</v>
      </c>
      <c r="J150" s="2" t="str">
        <f>CONCATENATE("if(${p_weight}&gt;0,",Table2[[#This Row],[Formula weight]],",",Table2[[#This Row],[Formula Age]],")")</f>
        <v>if(${p_weight}&gt;0,if(${p_weight_age}&gt;=8 and ${p_weight_age}&lt;10,"3",if(${p_weight_age}&gt;=10 and ${p_weight_age}&lt;12,"4",if(${p_weight_age}&gt;=12 and ${p_weight_age}&lt;15,"5",if(${p_weight_age}&gt;=15 and ${p_weight_age}&lt;20,"6",if(${p_weight_age}&gt;=20 and ${p_weight_age}&lt;100,"8","--"))))),if(${p_age}&gt;=10 and ${p_age}&lt;12,"3",if(${p_age}&gt;=12 and ${p_age}&lt;24,"4",if(${p_age}&gt;=24 and ${p_age}&lt;36,"5",if(${p_age}&gt;=36 and ${p_age}&lt;48,"6",if(${p_age}&gt;=48 and ${p_age}&lt;61,"8","--"))))))</v>
      </c>
      <c r="K150" s="2" t="str">
        <f>GenerateDrugString(Table2[[#This Row],[Min_weight_kg]],Table2[[#This Row],[Max_weight_kg]],Table2[[#This Row],[rate]],Table35[kg])</f>
        <v>3 3 3</v>
      </c>
      <c r="L150" s="2" t="str">
        <f>CONCATENATE(Table2[[#This Row],[drugStringLine]],IF(TRIM(Table2[[#This Row],[drugStringLine]])="",""," "),IF(Table2[[#This Row],[drug]]=A151,L151,""))</f>
        <v xml:space="preserve">3 3 3 4 4 5 5 6 8 8 </v>
      </c>
    </row>
    <row r="151" spans="1:12">
      <c r="A151" t="s">
        <v>59</v>
      </c>
      <c r="B151" t="str">
        <f>IF(Table2[[#This Row],[drug]]&lt;&gt;A150,Table2[[#This Row],[drug]],"")</f>
        <v/>
      </c>
      <c r="C151">
        <v>10</v>
      </c>
      <c r="D151">
        <v>12</v>
      </c>
      <c r="E151">
        <v>12</v>
      </c>
      <c r="F151">
        <v>24</v>
      </c>
      <c r="G151">
        <v>4</v>
      </c>
      <c r="H151" s="2" t="str">
        <f>CONCATENATE("if(${p_weight_age}&gt;=",Table2[[#This Row],[Min_weight_kg]]," and ${p_weight_age}&lt;",Table2[[#This Row],[Max_weight_kg]],",""",Table2[[#This Row],[rate]],""",",IF(Table2[[#This Row],[drug]]=A152,H152,"""--"""),")")</f>
        <v>if(${p_weight_age}&gt;=10 and ${p_weight_age}&lt;12,"4",if(${p_weight_age}&gt;=12 and ${p_weight_age}&lt;15,"5",if(${p_weight_age}&gt;=15 and ${p_weight_age}&lt;20,"6",if(${p_weight_age}&gt;=20 and ${p_weight_age}&lt;100,"8","--"))))</v>
      </c>
      <c r="I151" s="2" t="str">
        <f>CONCATENATE("if(${p_age}&gt;=",Table2[[#This Row],[Min_age_months]]," and ${p_age}&lt;",Table2[[#This Row],[Max_age_months]],",""",Table2[[#This Row],[rate]],""",",IF(Table2[[#This Row],[drug]]=A152,I152,"""--"""),")")</f>
        <v>if(${p_age}&gt;=12 and ${p_age}&lt;24,"4",if(${p_age}&gt;=24 and ${p_age}&lt;36,"5",if(${p_age}&gt;=36 and ${p_age}&lt;48,"6",if(${p_age}&gt;=48 and ${p_age}&lt;61,"8","--"))))</v>
      </c>
      <c r="J151" s="2" t="str">
        <f>CONCATENATE("if(${p_weight}&gt;0,",Table2[[#This Row],[Formula weight]],",",Table2[[#This Row],[Formula Age]],")")</f>
        <v>if(${p_weight}&gt;0,if(${p_weight_age}&gt;=10 and ${p_weight_age}&lt;12,"4",if(${p_weight_age}&gt;=12 and ${p_weight_age}&lt;15,"5",if(${p_weight_age}&gt;=15 and ${p_weight_age}&lt;20,"6",if(${p_weight_age}&gt;=20 and ${p_weight_age}&lt;100,"8","--")))),if(${p_age}&gt;=12 and ${p_age}&lt;24,"4",if(${p_age}&gt;=24 and ${p_age}&lt;36,"5",if(${p_age}&gt;=36 and ${p_age}&lt;48,"6",if(${p_age}&gt;=48 and ${p_age}&lt;61,"8","--")))))</v>
      </c>
      <c r="K151" s="2" t="str">
        <f>GenerateDrugString(Table2[[#This Row],[Min_weight_kg]],Table2[[#This Row],[Max_weight_kg]],Table2[[#This Row],[rate]],Table35[kg])</f>
        <v>4 4</v>
      </c>
      <c r="L151" s="2" t="str">
        <f>CONCATENATE(Table2[[#This Row],[drugStringLine]],IF(TRIM(Table2[[#This Row],[drugStringLine]])="",""," "),IF(Table2[[#This Row],[drug]]=A152,L152,""))</f>
        <v xml:space="preserve">4 4 5 5 6 8 8 </v>
      </c>
    </row>
    <row r="152" spans="1:12">
      <c r="A152" t="s">
        <v>59</v>
      </c>
      <c r="B152" t="str">
        <f>IF(Table2[[#This Row],[drug]]&lt;&gt;A151,Table2[[#This Row],[drug]],"")</f>
        <v/>
      </c>
      <c r="C152">
        <v>12</v>
      </c>
      <c r="D152">
        <v>15</v>
      </c>
      <c r="E152">
        <v>24</v>
      </c>
      <c r="F152">
        <v>36</v>
      </c>
      <c r="G152">
        <v>5</v>
      </c>
      <c r="H152" s="2" t="str">
        <f>CONCATENATE("if(${p_weight_age}&gt;=",Table2[[#This Row],[Min_weight_kg]]," and ${p_weight_age}&lt;",Table2[[#This Row],[Max_weight_kg]],",""",Table2[[#This Row],[rate]],""",",IF(Table2[[#This Row],[drug]]=A153,H153,"""--"""),")")</f>
        <v>if(${p_weight_age}&gt;=12 and ${p_weight_age}&lt;15,"5",if(${p_weight_age}&gt;=15 and ${p_weight_age}&lt;20,"6",if(${p_weight_age}&gt;=20 and ${p_weight_age}&lt;100,"8","--")))</v>
      </c>
      <c r="I152" s="2" t="str">
        <f>CONCATENATE("if(${p_age}&gt;=",Table2[[#This Row],[Min_age_months]]," and ${p_age}&lt;",Table2[[#This Row],[Max_age_months]],",""",Table2[[#This Row],[rate]],""",",IF(Table2[[#This Row],[drug]]=A153,I153,"""--"""),")")</f>
        <v>if(${p_age}&gt;=24 and ${p_age}&lt;36,"5",if(${p_age}&gt;=36 and ${p_age}&lt;48,"6",if(${p_age}&gt;=48 and ${p_age}&lt;61,"8","--")))</v>
      </c>
      <c r="J152" s="2" t="str">
        <f>CONCATENATE("if(${p_weight}&gt;0,",Table2[[#This Row],[Formula weight]],",",Table2[[#This Row],[Formula Age]],")")</f>
        <v>if(${p_weight}&gt;0,if(${p_weight_age}&gt;=12 and ${p_weight_age}&lt;15,"5",if(${p_weight_age}&gt;=15 and ${p_weight_age}&lt;20,"6",if(${p_weight_age}&gt;=20 and ${p_weight_age}&lt;100,"8","--"))),if(${p_age}&gt;=24 and ${p_age}&lt;36,"5",if(${p_age}&gt;=36 and ${p_age}&lt;48,"6",if(${p_age}&gt;=48 and ${p_age}&lt;61,"8","--"))))</v>
      </c>
      <c r="K152" s="2" t="str">
        <f>GenerateDrugString(Table2[[#This Row],[Min_weight_kg]],Table2[[#This Row],[Max_weight_kg]],Table2[[#This Row],[rate]],Table35[kg])</f>
        <v>5 5</v>
      </c>
      <c r="L152" s="2" t="str">
        <f>CONCATENATE(Table2[[#This Row],[drugStringLine]],IF(TRIM(Table2[[#This Row],[drugStringLine]])="",""," "),IF(Table2[[#This Row],[drug]]=A153,L153,""))</f>
        <v xml:space="preserve">5 5 6 8 8 </v>
      </c>
    </row>
    <row r="153" spans="1:12">
      <c r="A153" t="s">
        <v>59</v>
      </c>
      <c r="B153" t="str">
        <f>IF(Table2[[#This Row],[drug]]&lt;&gt;A152,Table2[[#This Row],[drug]],"")</f>
        <v/>
      </c>
      <c r="C153">
        <v>15</v>
      </c>
      <c r="D153">
        <v>20</v>
      </c>
      <c r="E153">
        <v>36</v>
      </c>
      <c r="F153">
        <v>48</v>
      </c>
      <c r="G153">
        <v>6</v>
      </c>
      <c r="H153" s="2" t="str">
        <f>CONCATENATE("if(${p_weight_age}&gt;=",Table2[[#This Row],[Min_weight_kg]]," and ${p_weight_age}&lt;",Table2[[#This Row],[Max_weight_kg]],",""",Table2[[#This Row],[rate]],""",",IF(Table2[[#This Row],[drug]]=A154,H154,"""--"""),")")</f>
        <v>if(${p_weight_age}&gt;=15 and ${p_weight_age}&lt;20,"6",if(${p_weight_age}&gt;=20 and ${p_weight_age}&lt;100,"8","--"))</v>
      </c>
      <c r="I153" s="2" t="str">
        <f>CONCATENATE("if(${p_age}&gt;=",Table2[[#This Row],[Min_age_months]]," and ${p_age}&lt;",Table2[[#This Row],[Max_age_months]],",""",Table2[[#This Row],[rate]],""",",IF(Table2[[#This Row],[drug]]=A154,I154,"""--"""),")")</f>
        <v>if(${p_age}&gt;=36 and ${p_age}&lt;48,"6",if(${p_age}&gt;=48 and ${p_age}&lt;61,"8","--"))</v>
      </c>
      <c r="J153" s="2" t="str">
        <f>CONCATENATE("if(${p_weight}&gt;0,",Table2[[#This Row],[Formula weight]],",",Table2[[#This Row],[Formula Age]],")")</f>
        <v>if(${p_weight}&gt;0,if(${p_weight_age}&gt;=15 and ${p_weight_age}&lt;20,"6",if(${p_weight_age}&gt;=20 and ${p_weight_age}&lt;100,"8","--")),if(${p_age}&gt;=36 and ${p_age}&lt;48,"6",if(${p_age}&gt;=48 and ${p_age}&lt;61,"8","--")))</v>
      </c>
      <c r="K153" s="2" t="str">
        <f>GenerateDrugString(Table2[[#This Row],[Min_weight_kg]],Table2[[#This Row],[Max_weight_kg]],Table2[[#This Row],[rate]],Table35[kg])</f>
        <v>6</v>
      </c>
      <c r="L153" s="2" t="str">
        <f>CONCATENATE(Table2[[#This Row],[drugStringLine]],IF(TRIM(Table2[[#This Row],[drugStringLine]])="",""," "),IF(Table2[[#This Row],[drug]]=A154,L154,""))</f>
        <v xml:space="preserve">6 8 8 </v>
      </c>
    </row>
    <row r="154" spans="1:12">
      <c r="A154" t="s">
        <v>59</v>
      </c>
      <c r="B154" t="str">
        <f>IF(Table2[[#This Row],[drug]]&lt;&gt;A153,Table2[[#This Row],[drug]],"")</f>
        <v/>
      </c>
      <c r="C154">
        <v>20</v>
      </c>
      <c r="D154">
        <v>100</v>
      </c>
      <c r="E154">
        <v>48</v>
      </c>
      <c r="F154">
        <v>61</v>
      </c>
      <c r="G154">
        <v>8</v>
      </c>
      <c r="H154" s="2" t="str">
        <f>CONCATENATE("if(${p_weight_age}&gt;=",Table2[[#This Row],[Min_weight_kg]]," and ${p_weight_age}&lt;",Table2[[#This Row],[Max_weight_kg]],",""",Table2[[#This Row],[rate]],""",",IF(Table2[[#This Row],[drug]]=A155,H155,"""--"""),")")</f>
        <v>if(${p_weight_age}&gt;=20 and ${p_weight_age}&lt;100,"8","--")</v>
      </c>
      <c r="I154" s="2" t="str">
        <f>CONCATENATE("if(${p_age}&gt;=",Table2[[#This Row],[Min_age_months]]," and ${p_age}&lt;",Table2[[#This Row],[Max_age_months]],",""",Table2[[#This Row],[rate]],""",",IF(Table2[[#This Row],[drug]]=A155,I155,"""--"""),")")</f>
        <v>if(${p_age}&gt;=48 and ${p_age}&lt;61,"8","--")</v>
      </c>
      <c r="J154" s="2" t="str">
        <f>CONCATENATE("if(${p_weight}&gt;0,",Table2[[#This Row],[Formula weight]],",",Table2[[#This Row],[Formula Age]],")")</f>
        <v>if(${p_weight}&gt;0,if(${p_weight_age}&gt;=20 and ${p_weight_age}&lt;100,"8","--"),if(${p_age}&gt;=48 and ${p_age}&lt;61,"8","--"))</v>
      </c>
      <c r="K154" s="2" t="str">
        <f>GenerateDrugString(Table2[[#This Row],[Min_weight_kg]],Table2[[#This Row],[Max_weight_kg]],Table2[[#This Row],[rate]],Table35[kg])</f>
        <v>8 8</v>
      </c>
      <c r="L154" s="2" t="str">
        <f>CONCATENATE(Table2[[#This Row],[drugStringLine]],IF(TRIM(Table2[[#This Row],[drugStringLine]])="",""," "),IF(Table2[[#This Row],[drug]]=A155,L155,""))</f>
        <v xml:space="preserve">8 8 </v>
      </c>
    </row>
    <row r="155" spans="1:12">
      <c r="A155" t="s">
        <v>31</v>
      </c>
      <c r="B155" t="str">
        <f>IF(Table2[[#This Row],[drug]]&lt;&gt;A154,Table2[[#This Row],[drug]],"")</f>
        <v>erythromycin_ml</v>
      </c>
      <c r="C155">
        <v>0</v>
      </c>
      <c r="D155">
        <v>4</v>
      </c>
      <c r="E155">
        <v>0</v>
      </c>
      <c r="F155">
        <v>2</v>
      </c>
      <c r="G155">
        <v>0</v>
      </c>
      <c r="H155" s="2" t="str">
        <f>CONCATENATE("if(${p_weight_age}&gt;=",Table2[[#This Row],[Min_weight_kg]]," and ${p_weight_age}&lt;",Table2[[#This Row],[Max_weight_kg]],",""",Table2[[#This Row],[rate]],""",",IF(Table2[[#This Row],[drug]]=A156,H156,"""--"""),")")</f>
        <v>if(${p_weight_age}&gt;=0 and ${p_weight_age}&lt;4,"0",if(${p_weight_age}&gt;=4 and ${p_weight_age}&lt;6,"1.5",if(${p_weight_age}&gt;=6 and ${p_weight_age}&lt;10,"3",if(${p_weight_age}&gt;=10 and ${p_weight_age}&lt;15,"4",if(${p_weight_age}&gt;=15 and ${p_weight_age}&lt;100,"5","--")))))</v>
      </c>
      <c r="I155" s="2" t="str">
        <f>CONCATENATE("if(${p_age}&gt;=",Table2[[#This Row],[Min_age_months]]," and ${p_age}&lt;",Table2[[#This Row],[Max_age_months]],",""",Table2[[#This Row],[rate]],""",",IF(Table2[[#This Row],[drug]]=A156,I156,"""--"""),")")</f>
        <v>if(${p_age}&gt;=0 and ${p_age}&lt;2,"0",if(${p_age}&gt;=2 and ${p_age}&lt;4,"1.5",if(${p_age}&gt;=4 and ${p_age}&lt;12,"3",if(${p_age}&gt;=12 and ${p_age}&lt;36,"4",if(${p_age}&gt;=36 and ${p_age}&lt;60,"5","--")))))</v>
      </c>
      <c r="J155" s="2" t="str">
        <f>CONCATENATE("if(${p_weight}&gt;0,",Table2[[#This Row],[Formula weight]],",",Table2[[#This Row],[Formula Age]],")")</f>
        <v>if(${p_weight}&gt;0,if(${p_weight_age}&gt;=0 and ${p_weight_age}&lt;4,"0",if(${p_weight_age}&gt;=4 and ${p_weight_age}&lt;6,"1.5",if(${p_weight_age}&gt;=6 and ${p_weight_age}&lt;10,"3",if(${p_weight_age}&gt;=10 and ${p_weight_age}&lt;15,"4",if(${p_weight_age}&gt;=15 and ${p_weight_age}&lt;100,"5","--"))))),if(${p_age}&gt;=0 and ${p_age}&lt;2,"0",if(${p_age}&gt;=2 and ${p_age}&lt;4,"1.5",if(${p_age}&gt;=4 and ${p_age}&lt;12,"3",if(${p_age}&gt;=12 and ${p_age}&lt;36,"4",if(${p_age}&gt;=36 and ${p_age}&lt;60,"5","--"))))))</v>
      </c>
      <c r="K155" s="2" t="str">
        <f>GenerateDrugString(Table2[[#This Row],[Min_weight_kg]],Table2[[#This Row],[Max_weight_kg]],Table2[[#This Row],[rate]],Table35[kg])</f>
        <v>0 0 0</v>
      </c>
      <c r="L155" s="2" t="str">
        <f>CONCATENATE(Table2[[#This Row],[drugStringLine]],IF(TRIM(Table2[[#This Row],[drugStringLine]])="",""," "),IF(Table2[[#This Row],[drug]]=A156,L156,""))</f>
        <v xml:space="preserve">0 0 0 1.5 1.5 1.5 3 3 3 3 3 4 4 4 4 5 5 5 </v>
      </c>
    </row>
    <row r="156" spans="1:12">
      <c r="A156" t="s">
        <v>31</v>
      </c>
      <c r="B156" t="str">
        <f>IF(Table2[[#This Row],[drug]]&lt;&gt;A155,Table2[[#This Row],[drug]],"")</f>
        <v/>
      </c>
      <c r="C156">
        <v>4</v>
      </c>
      <c r="D156">
        <v>6</v>
      </c>
      <c r="E156">
        <v>2</v>
      </c>
      <c r="F156">
        <v>4</v>
      </c>
      <c r="G156">
        <v>1.5</v>
      </c>
      <c r="H156" s="2" t="str">
        <f>CONCATENATE("if(${p_weight_age}&gt;=",Table2[[#This Row],[Min_weight_kg]]," and ${p_weight_age}&lt;",Table2[[#This Row],[Max_weight_kg]],",""",Table2[[#This Row],[rate]],""",",IF(Table2[[#This Row],[drug]]=A157,H157,"""--"""),")")</f>
        <v>if(${p_weight_age}&gt;=4 and ${p_weight_age}&lt;6,"1.5",if(${p_weight_age}&gt;=6 and ${p_weight_age}&lt;10,"3",if(${p_weight_age}&gt;=10 and ${p_weight_age}&lt;15,"4",if(${p_weight_age}&gt;=15 and ${p_weight_age}&lt;100,"5","--"))))</v>
      </c>
      <c r="I156" s="2" t="str">
        <f>CONCATENATE("if(${p_age}&gt;=",Table2[[#This Row],[Min_age_months]]," and ${p_age}&lt;",Table2[[#This Row],[Max_age_months]],",""",Table2[[#This Row],[rate]],""",",IF(Table2[[#This Row],[drug]]=A157,I157,"""--"""),")")</f>
        <v>if(${p_age}&gt;=2 and ${p_age}&lt;4,"1.5",if(${p_age}&gt;=4 and ${p_age}&lt;12,"3",if(${p_age}&gt;=12 and ${p_age}&lt;36,"4",if(${p_age}&gt;=36 and ${p_age}&lt;60,"5","--"))))</v>
      </c>
      <c r="J156" s="2" t="str">
        <f>CONCATENATE("if(${p_weight}&gt;0,",Table2[[#This Row],[Formula weight]],",",Table2[[#This Row],[Formula Age]],")")</f>
        <v>if(${p_weight}&gt;0,if(${p_weight_age}&gt;=4 and ${p_weight_age}&lt;6,"1.5",if(${p_weight_age}&gt;=6 and ${p_weight_age}&lt;10,"3",if(${p_weight_age}&gt;=10 and ${p_weight_age}&lt;15,"4",if(${p_weight_age}&gt;=15 and ${p_weight_age}&lt;100,"5","--")))),if(${p_age}&gt;=2 and ${p_age}&lt;4,"1.5",if(${p_age}&gt;=4 and ${p_age}&lt;12,"3",if(${p_age}&gt;=12 and ${p_age}&lt;36,"4",if(${p_age}&gt;=36 and ${p_age}&lt;60,"5","--")))))</v>
      </c>
      <c r="K156" s="2" t="str">
        <f>GenerateDrugString(Table2[[#This Row],[Min_weight_kg]],Table2[[#This Row],[Max_weight_kg]],Table2[[#This Row],[rate]],Table35[kg])</f>
        <v>1.5 1.5 1.5</v>
      </c>
      <c r="L156" s="2" t="str">
        <f>CONCATENATE(Table2[[#This Row],[drugStringLine]],IF(TRIM(Table2[[#This Row],[drugStringLine]])="",""," "),IF(Table2[[#This Row],[drug]]=A157,L157,""))</f>
        <v xml:space="preserve">1.5 1.5 1.5 3 3 3 3 3 4 4 4 4 5 5 5 </v>
      </c>
    </row>
    <row r="157" spans="1:12">
      <c r="A157" t="s">
        <v>31</v>
      </c>
      <c r="B157" t="str">
        <f>IF(Table2[[#This Row],[drug]]&lt;&gt;A156,Table2[[#This Row],[drug]],"")</f>
        <v/>
      </c>
      <c r="C157">
        <v>6</v>
      </c>
      <c r="D157">
        <v>10</v>
      </c>
      <c r="E157">
        <v>4</v>
      </c>
      <c r="F157">
        <v>12</v>
      </c>
      <c r="G157">
        <v>3</v>
      </c>
      <c r="H157" s="2" t="str">
        <f>CONCATENATE("if(${p_weight_age}&gt;=",Table2[[#This Row],[Min_weight_kg]]," and ${p_weight_age}&lt;",Table2[[#This Row],[Max_weight_kg]],",""",Table2[[#This Row],[rate]],""",",IF(Table2[[#This Row],[drug]]=A158,H158,"""--"""),")")</f>
        <v>if(${p_weight_age}&gt;=6 and ${p_weight_age}&lt;10,"3",if(${p_weight_age}&gt;=10 and ${p_weight_age}&lt;15,"4",if(${p_weight_age}&gt;=15 and ${p_weight_age}&lt;100,"5","--")))</v>
      </c>
      <c r="I157" s="2" t="str">
        <f>CONCATENATE("if(${p_age}&gt;=",Table2[[#This Row],[Min_age_months]]," and ${p_age}&lt;",Table2[[#This Row],[Max_age_months]],",""",Table2[[#This Row],[rate]],""",",IF(Table2[[#This Row],[drug]]=A158,I158,"""--"""),")")</f>
        <v>if(${p_age}&gt;=4 and ${p_age}&lt;12,"3",if(${p_age}&gt;=12 and ${p_age}&lt;36,"4",if(${p_age}&gt;=36 and ${p_age}&lt;60,"5","--")))</v>
      </c>
      <c r="J157" s="2" t="str">
        <f>CONCATENATE("if(${p_weight}&gt;0,",Table2[[#This Row],[Formula weight]],",",Table2[[#This Row],[Formula Age]],")")</f>
        <v>if(${p_weight}&gt;0,if(${p_weight_age}&gt;=6 and ${p_weight_age}&lt;10,"3",if(${p_weight_age}&gt;=10 and ${p_weight_age}&lt;15,"4",if(${p_weight_age}&gt;=15 and ${p_weight_age}&lt;100,"5","--"))),if(${p_age}&gt;=4 and ${p_age}&lt;12,"3",if(${p_age}&gt;=12 and ${p_age}&lt;36,"4",if(${p_age}&gt;=36 and ${p_age}&lt;60,"5","--"))))</v>
      </c>
      <c r="K157" s="2" t="str">
        <f>GenerateDrugString(Table2[[#This Row],[Min_weight_kg]],Table2[[#This Row],[Max_weight_kg]],Table2[[#This Row],[rate]],Table35[kg])</f>
        <v>3 3 3 3 3</v>
      </c>
      <c r="L157" s="2" t="str">
        <f>CONCATENATE(Table2[[#This Row],[drugStringLine]],IF(TRIM(Table2[[#This Row],[drugStringLine]])="",""," "),IF(Table2[[#This Row],[drug]]=A158,L158,""))</f>
        <v xml:space="preserve">3 3 3 3 3 4 4 4 4 5 5 5 </v>
      </c>
    </row>
    <row r="158" spans="1:12">
      <c r="A158" t="s">
        <v>31</v>
      </c>
      <c r="B158" t="str">
        <f>IF(Table2[[#This Row],[drug]]&lt;&gt;A157,Table2[[#This Row],[drug]],"")</f>
        <v/>
      </c>
      <c r="C158">
        <v>10</v>
      </c>
      <c r="D158">
        <v>15</v>
      </c>
      <c r="E158">
        <v>12</v>
      </c>
      <c r="F158">
        <v>36</v>
      </c>
      <c r="G158">
        <v>4</v>
      </c>
      <c r="H158" s="2" t="str">
        <f>CONCATENATE("if(${p_weight_age}&gt;=",Table2[[#This Row],[Min_weight_kg]]," and ${p_weight_age}&lt;",Table2[[#This Row],[Max_weight_kg]],",""",Table2[[#This Row],[rate]],""",",IF(Table2[[#This Row],[drug]]=A159,H159,"""--"""),")")</f>
        <v>if(${p_weight_age}&gt;=10 and ${p_weight_age}&lt;15,"4",if(${p_weight_age}&gt;=15 and ${p_weight_age}&lt;100,"5","--"))</v>
      </c>
      <c r="I158" s="2" t="str">
        <f>CONCATENATE("if(${p_age}&gt;=",Table2[[#This Row],[Min_age_months]]," and ${p_age}&lt;",Table2[[#This Row],[Max_age_months]],",""",Table2[[#This Row],[rate]],""",",IF(Table2[[#This Row],[drug]]=A159,I159,"""--"""),")")</f>
        <v>if(${p_age}&gt;=12 and ${p_age}&lt;36,"4",if(${p_age}&gt;=36 and ${p_age}&lt;60,"5","--"))</v>
      </c>
      <c r="J158" s="2" t="str">
        <f>CONCATENATE("if(${p_weight}&gt;0,",Table2[[#This Row],[Formula weight]],",",Table2[[#This Row],[Formula Age]],")")</f>
        <v>if(${p_weight}&gt;0,if(${p_weight_age}&gt;=10 and ${p_weight_age}&lt;15,"4",if(${p_weight_age}&gt;=15 and ${p_weight_age}&lt;100,"5","--")),if(${p_age}&gt;=12 and ${p_age}&lt;36,"4",if(${p_age}&gt;=36 and ${p_age}&lt;60,"5","--")))</v>
      </c>
      <c r="K158" s="2" t="str">
        <f>GenerateDrugString(Table2[[#This Row],[Min_weight_kg]],Table2[[#This Row],[Max_weight_kg]],Table2[[#This Row],[rate]],Table35[kg])</f>
        <v>4 4 4 4</v>
      </c>
      <c r="L158" s="2" t="str">
        <f>CONCATENATE(Table2[[#This Row],[drugStringLine]],IF(TRIM(Table2[[#This Row],[drugStringLine]])="",""," "),IF(Table2[[#This Row],[drug]]=A159,L159,""))</f>
        <v xml:space="preserve">4 4 4 4 5 5 5 </v>
      </c>
    </row>
    <row r="159" spans="1:12">
      <c r="A159" t="s">
        <v>31</v>
      </c>
      <c r="B159" t="str">
        <f>IF(Table2[[#This Row],[drug]]&lt;&gt;A158,Table2[[#This Row],[drug]],"")</f>
        <v/>
      </c>
      <c r="C159">
        <v>15</v>
      </c>
      <c r="D159">
        <v>100</v>
      </c>
      <c r="E159">
        <v>36</v>
      </c>
      <c r="F159">
        <v>60</v>
      </c>
      <c r="G159">
        <v>5</v>
      </c>
      <c r="H159" s="2" t="str">
        <f>CONCATENATE("if(${p_weight_age}&gt;=",Table2[[#This Row],[Min_weight_kg]]," and ${p_weight_age}&lt;",Table2[[#This Row],[Max_weight_kg]],",""",Table2[[#This Row],[rate]],""",",IF(Table2[[#This Row],[drug]]=A160,H160,"""--"""),")")</f>
        <v>if(${p_weight_age}&gt;=15 and ${p_weight_age}&lt;100,"5","--")</v>
      </c>
      <c r="I159" s="2" t="str">
        <f>CONCATENATE("if(${p_age}&gt;=",Table2[[#This Row],[Min_age_months]]," and ${p_age}&lt;",Table2[[#This Row],[Max_age_months]],",""",Table2[[#This Row],[rate]],""",",IF(Table2[[#This Row],[drug]]=A160,I160,"""--"""),")")</f>
        <v>if(${p_age}&gt;=36 and ${p_age}&lt;60,"5","--")</v>
      </c>
      <c r="J159" s="2" t="str">
        <f>CONCATENATE("if(${p_weight}&gt;0,",Table2[[#This Row],[Formula weight]],",",Table2[[#This Row],[Formula Age]],")")</f>
        <v>if(${p_weight}&gt;0,if(${p_weight_age}&gt;=15 and ${p_weight_age}&lt;100,"5","--"),if(${p_age}&gt;=36 and ${p_age}&lt;60,"5","--"))</v>
      </c>
      <c r="K159" s="2" t="str">
        <f>GenerateDrugString(Table2[[#This Row],[Min_weight_kg]],Table2[[#This Row],[Max_weight_kg]],Table2[[#This Row],[rate]],Table35[kg])</f>
        <v>5 5 5</v>
      </c>
      <c r="L159" s="2" t="str">
        <f>CONCATENATE(Table2[[#This Row],[drugStringLine]],IF(TRIM(Table2[[#This Row],[drugStringLine]])="",""," "),IF(Table2[[#This Row],[drug]]=A160,L160,""))</f>
        <v xml:space="preserve">5 5 5 </v>
      </c>
    </row>
    <row r="160" spans="1:12">
      <c r="A160" t="s">
        <v>32</v>
      </c>
      <c r="B160" t="str">
        <f>IF(Table2[[#This Row],[drug]]&lt;&gt;A159,Table2[[#This Row],[drug]],"")</f>
        <v>erythromycin_tab</v>
      </c>
      <c r="C160">
        <v>0</v>
      </c>
      <c r="D160">
        <v>4</v>
      </c>
      <c r="E160">
        <v>0</v>
      </c>
      <c r="F160">
        <v>2</v>
      </c>
      <c r="G160" t="s">
        <v>60</v>
      </c>
      <c r="H160" s="2" t="str">
        <f>CONCATENATE("if(${p_weight_age}&gt;=",Table2[[#This Row],[Min_weight_kg]]," and ${p_weight_age}&lt;",Table2[[#This Row],[Max_weight_kg]],",""",Table2[[#This Row],[rate]],""",",IF(Table2[[#This Row],[drug]]=A161,H161,"""--"""),")")</f>
        <v>if(${p_weight_age}&gt;=0 and ${p_weight_age}&lt;4,"--",if(${p_weight_age}&gt;=4 and ${p_weight_age}&lt;6,"1/4",if(${p_weight_age}&gt;=6 and ${p_weight_age}&lt;10,"1/2",if(${p_weight_age}&gt;=10 and ${p_weight_age}&lt;15,"1",if(${p_weight_age}&gt;=15 and ${p_weight_age}&lt;100,"1","--")))))</v>
      </c>
      <c r="I160" s="2" t="str">
        <f>CONCATENATE("if(${p_age}&gt;=",Table2[[#This Row],[Min_age_months]]," and ${p_age}&lt;",Table2[[#This Row],[Max_age_months]],",""",Table2[[#This Row],[rate]],""",",IF(Table2[[#This Row],[drug]]=A161,I161,"""--"""),")")</f>
        <v>if(${p_age}&gt;=0 and ${p_age}&lt;2,"--",if(${p_age}&gt;=2 and ${p_age}&lt;4,"1/4",if(${p_age}&gt;=4 and ${p_age}&lt;12,"1/2",if(${p_age}&gt;=12 and ${p_age}&lt;36,"1",if(${p_age}&gt;=36 and ${p_age}&lt;60,"1","--")))))</v>
      </c>
      <c r="J160" s="2" t="str">
        <f>CONCATENATE("if(${p_weight}&gt;0,",Table2[[#This Row],[Formula weight]],",",Table2[[#This Row],[Formula Age]],")")</f>
        <v>if(${p_weight}&gt;0,if(${p_weight_age}&gt;=0 and ${p_weight_age}&lt;4,"--",if(${p_weight_age}&gt;=4 and ${p_weight_age}&lt;6,"1/4",if(${p_weight_age}&gt;=6 and ${p_weight_age}&lt;10,"1/2",if(${p_weight_age}&gt;=10 and ${p_weight_age}&lt;15,"1",if(${p_weight_age}&gt;=15 and ${p_weight_age}&lt;100,"1","--"))))),if(${p_age}&gt;=0 and ${p_age}&lt;2,"--",if(${p_age}&gt;=2 and ${p_age}&lt;4,"1/4",if(${p_age}&gt;=4 and ${p_age}&lt;12,"1/2",if(${p_age}&gt;=12 and ${p_age}&lt;36,"1",if(${p_age}&gt;=36 and ${p_age}&lt;60,"1","--"))))))</v>
      </c>
      <c r="K160" s="2" t="str">
        <f>GenerateDrugString(Table2[[#This Row],[Min_weight_kg]],Table2[[#This Row],[Max_weight_kg]],Table2[[#This Row],[rate]],Table35[kg])</f>
        <v>-- -- --</v>
      </c>
      <c r="L160" s="2" t="str">
        <f>CONCATENATE(Table2[[#This Row],[drugStringLine]],IF(TRIM(Table2[[#This Row],[drugStringLine]])="",""," "),IF(Table2[[#This Row],[drug]]=A161,L161,""))</f>
        <v xml:space="preserve">-- -- -- 1/4 1/4 1/4 1/2 1/2 1/2 1/2 1/2 1 1 1 1 1 1 1 </v>
      </c>
    </row>
    <row r="161" spans="1:12">
      <c r="A161" t="s">
        <v>32</v>
      </c>
      <c r="B161" t="str">
        <f>IF(Table2[[#This Row],[drug]]&lt;&gt;A160,Table2[[#This Row],[drug]],"")</f>
        <v/>
      </c>
      <c r="C161">
        <v>4</v>
      </c>
      <c r="D161">
        <v>6</v>
      </c>
      <c r="E161">
        <v>2</v>
      </c>
      <c r="F161">
        <v>4</v>
      </c>
      <c r="G161" t="s">
        <v>4</v>
      </c>
      <c r="H161" s="2" t="str">
        <f>CONCATENATE("if(${p_weight_age}&gt;=",Table2[[#This Row],[Min_weight_kg]]," and ${p_weight_age}&lt;",Table2[[#This Row],[Max_weight_kg]],",""",Table2[[#This Row],[rate]],""",",IF(Table2[[#This Row],[drug]]=A162,H162,"""--"""),")")</f>
        <v>if(${p_weight_age}&gt;=4 and ${p_weight_age}&lt;6,"1/4",if(${p_weight_age}&gt;=6 and ${p_weight_age}&lt;10,"1/2",if(${p_weight_age}&gt;=10 and ${p_weight_age}&lt;15,"1",if(${p_weight_age}&gt;=15 and ${p_weight_age}&lt;100,"1","--"))))</v>
      </c>
      <c r="I161" s="2" t="str">
        <f>CONCATENATE("if(${p_age}&gt;=",Table2[[#This Row],[Min_age_months]]," and ${p_age}&lt;",Table2[[#This Row],[Max_age_months]],",""",Table2[[#This Row],[rate]],""",",IF(Table2[[#This Row],[drug]]=A162,I162,"""--"""),")")</f>
        <v>if(${p_age}&gt;=2 and ${p_age}&lt;4,"1/4",if(${p_age}&gt;=4 and ${p_age}&lt;12,"1/2",if(${p_age}&gt;=12 and ${p_age}&lt;36,"1",if(${p_age}&gt;=36 and ${p_age}&lt;60,"1","--"))))</v>
      </c>
      <c r="J161" s="2" t="str">
        <f>CONCATENATE("if(${p_weight}&gt;0,",Table2[[#This Row],[Formula weight]],",",Table2[[#This Row],[Formula Age]],")")</f>
        <v>if(${p_weight}&gt;0,if(${p_weight_age}&gt;=4 and ${p_weight_age}&lt;6,"1/4",if(${p_weight_age}&gt;=6 and ${p_weight_age}&lt;10,"1/2",if(${p_weight_age}&gt;=10 and ${p_weight_age}&lt;15,"1",if(${p_weight_age}&gt;=15 and ${p_weight_age}&lt;100,"1","--")))),if(${p_age}&gt;=2 and ${p_age}&lt;4,"1/4",if(${p_age}&gt;=4 and ${p_age}&lt;12,"1/2",if(${p_age}&gt;=12 and ${p_age}&lt;36,"1",if(${p_age}&gt;=36 and ${p_age}&lt;60,"1","--")))))</v>
      </c>
      <c r="K161" s="2" t="str">
        <f>GenerateDrugString(Table2[[#This Row],[Min_weight_kg]],Table2[[#This Row],[Max_weight_kg]],Table2[[#This Row],[rate]],Table35[kg])</f>
        <v>1/4 1/4 1/4</v>
      </c>
      <c r="L161" s="2" t="str">
        <f>CONCATENATE(Table2[[#This Row],[drugStringLine]],IF(TRIM(Table2[[#This Row],[drugStringLine]])="",""," "),IF(Table2[[#This Row],[drug]]=A162,L162,""))</f>
        <v xml:space="preserve">1/4 1/4 1/4 1/2 1/2 1/2 1/2 1/2 1 1 1 1 1 1 1 </v>
      </c>
    </row>
    <row r="162" spans="1:12">
      <c r="A162" t="s">
        <v>32</v>
      </c>
      <c r="B162" t="str">
        <f>IF(Table2[[#This Row],[drug]]&lt;&gt;A161,Table2[[#This Row],[drug]],"")</f>
        <v/>
      </c>
      <c r="C162">
        <v>6</v>
      </c>
      <c r="D162">
        <v>10</v>
      </c>
      <c r="E162">
        <v>4</v>
      </c>
      <c r="F162">
        <v>12</v>
      </c>
      <c r="G162" t="s">
        <v>5</v>
      </c>
      <c r="H162" s="2" t="str">
        <f>CONCATENATE("if(${p_weight_age}&gt;=",Table2[[#This Row],[Min_weight_kg]]," and ${p_weight_age}&lt;",Table2[[#This Row],[Max_weight_kg]],",""",Table2[[#This Row],[rate]],""",",IF(Table2[[#This Row],[drug]]=A163,H163,"""--"""),")")</f>
        <v>if(${p_weight_age}&gt;=6 and ${p_weight_age}&lt;10,"1/2",if(${p_weight_age}&gt;=10 and ${p_weight_age}&lt;15,"1",if(${p_weight_age}&gt;=15 and ${p_weight_age}&lt;100,"1","--")))</v>
      </c>
      <c r="I162" s="2" t="str">
        <f>CONCATENATE("if(${p_age}&gt;=",Table2[[#This Row],[Min_age_months]]," and ${p_age}&lt;",Table2[[#This Row],[Max_age_months]],",""",Table2[[#This Row],[rate]],""",",IF(Table2[[#This Row],[drug]]=A163,I163,"""--"""),")")</f>
        <v>if(${p_age}&gt;=4 and ${p_age}&lt;12,"1/2",if(${p_age}&gt;=12 and ${p_age}&lt;36,"1",if(${p_age}&gt;=36 and ${p_age}&lt;60,"1","--")))</v>
      </c>
      <c r="J162" s="2" t="str">
        <f>CONCATENATE("if(${p_weight}&gt;0,",Table2[[#This Row],[Formula weight]],",",Table2[[#This Row],[Formula Age]],")")</f>
        <v>if(${p_weight}&gt;0,if(${p_weight_age}&gt;=6 and ${p_weight_age}&lt;10,"1/2",if(${p_weight_age}&gt;=10 and ${p_weight_age}&lt;15,"1",if(${p_weight_age}&gt;=15 and ${p_weight_age}&lt;100,"1","--"))),if(${p_age}&gt;=4 and ${p_age}&lt;12,"1/2",if(${p_age}&gt;=12 and ${p_age}&lt;36,"1",if(${p_age}&gt;=36 and ${p_age}&lt;60,"1","--"))))</v>
      </c>
      <c r="K162" s="2" t="str">
        <f>GenerateDrugString(Table2[[#This Row],[Min_weight_kg]],Table2[[#This Row],[Max_weight_kg]],Table2[[#This Row],[rate]],Table35[kg])</f>
        <v>1/2 1/2 1/2 1/2 1/2</v>
      </c>
      <c r="L162" s="2" t="str">
        <f>CONCATENATE(Table2[[#This Row],[drugStringLine]],IF(TRIM(Table2[[#This Row],[drugStringLine]])="",""," "),IF(Table2[[#This Row],[drug]]=A163,L163,""))</f>
        <v xml:space="preserve">1/2 1/2 1/2 1/2 1/2 1 1 1 1 1 1 1 </v>
      </c>
    </row>
    <row r="163" spans="1:12">
      <c r="A163" t="s">
        <v>32</v>
      </c>
      <c r="B163" t="str">
        <f>IF(Table2[[#This Row],[drug]]&lt;&gt;A162,Table2[[#This Row],[drug]],"")</f>
        <v/>
      </c>
      <c r="C163">
        <v>10</v>
      </c>
      <c r="D163">
        <v>15</v>
      </c>
      <c r="E163">
        <v>12</v>
      </c>
      <c r="F163">
        <v>36</v>
      </c>
      <c r="G163">
        <v>1</v>
      </c>
      <c r="H163" s="2" t="str">
        <f>CONCATENATE("if(${p_weight_age}&gt;=",Table2[[#This Row],[Min_weight_kg]]," and ${p_weight_age}&lt;",Table2[[#This Row],[Max_weight_kg]],",""",Table2[[#This Row],[rate]],""",",IF(Table2[[#This Row],[drug]]=A164,H164,"""--"""),")")</f>
        <v>if(${p_weight_age}&gt;=10 and ${p_weight_age}&lt;15,"1",if(${p_weight_age}&gt;=15 and ${p_weight_age}&lt;100,"1","--"))</v>
      </c>
      <c r="I163" s="2" t="str">
        <f>CONCATENATE("if(${p_age}&gt;=",Table2[[#This Row],[Min_age_months]]," and ${p_age}&lt;",Table2[[#This Row],[Max_age_months]],",""",Table2[[#This Row],[rate]],""",",IF(Table2[[#This Row],[drug]]=A164,I164,"""--"""),")")</f>
        <v>if(${p_age}&gt;=12 and ${p_age}&lt;36,"1",if(${p_age}&gt;=36 and ${p_age}&lt;60,"1","--"))</v>
      </c>
      <c r="J163" s="2" t="str">
        <f>CONCATENATE("if(${p_weight}&gt;0,",Table2[[#This Row],[Formula weight]],",",Table2[[#This Row],[Formula Age]],")")</f>
        <v>if(${p_weight}&gt;0,if(${p_weight_age}&gt;=10 and ${p_weight_age}&lt;15,"1",if(${p_weight_age}&gt;=15 and ${p_weight_age}&lt;100,"1","--")),if(${p_age}&gt;=12 and ${p_age}&lt;36,"1",if(${p_age}&gt;=36 and ${p_age}&lt;60,"1","--")))</v>
      </c>
      <c r="K163" s="2" t="str">
        <f>GenerateDrugString(Table2[[#This Row],[Min_weight_kg]],Table2[[#This Row],[Max_weight_kg]],Table2[[#This Row],[rate]],Table35[kg])</f>
        <v>1 1 1 1</v>
      </c>
      <c r="L163" s="2" t="str">
        <f>CONCATENATE(Table2[[#This Row],[drugStringLine]],IF(TRIM(Table2[[#This Row],[drugStringLine]])="",""," "),IF(Table2[[#This Row],[drug]]=A164,L164,""))</f>
        <v xml:space="preserve">1 1 1 1 1 1 1 </v>
      </c>
    </row>
    <row r="164" spans="1:12">
      <c r="A164" t="s">
        <v>32</v>
      </c>
      <c r="B164" t="str">
        <f>IF(Table2[[#This Row],[drug]]&lt;&gt;A163,Table2[[#This Row],[drug]],"")</f>
        <v/>
      </c>
      <c r="C164">
        <v>15</v>
      </c>
      <c r="D164">
        <v>100</v>
      </c>
      <c r="E164">
        <v>36</v>
      </c>
      <c r="F164">
        <v>60</v>
      </c>
      <c r="G164">
        <v>1</v>
      </c>
      <c r="H164" s="2" t="str">
        <f>CONCATENATE("if(${p_weight_age}&gt;=",Table2[[#This Row],[Min_weight_kg]]," and ${p_weight_age}&lt;",Table2[[#This Row],[Max_weight_kg]],",""",Table2[[#This Row],[rate]],""",",IF(Table2[[#This Row],[drug]]=A165,H165,"""--"""),")")</f>
        <v>if(${p_weight_age}&gt;=15 and ${p_weight_age}&lt;100,"1","--")</v>
      </c>
      <c r="I164" s="2" t="str">
        <f>CONCATENATE("if(${p_age}&gt;=",Table2[[#This Row],[Min_age_months]]," and ${p_age}&lt;",Table2[[#This Row],[Max_age_months]],",""",Table2[[#This Row],[rate]],""",",IF(Table2[[#This Row],[drug]]=A165,I165,"""--"""),")")</f>
        <v>if(${p_age}&gt;=36 and ${p_age}&lt;60,"1","--")</v>
      </c>
      <c r="J164" s="2" t="str">
        <f>CONCATENATE("if(${p_weight}&gt;0,",Table2[[#This Row],[Formula weight]],",",Table2[[#This Row],[Formula Age]],")")</f>
        <v>if(${p_weight}&gt;0,if(${p_weight_age}&gt;=15 and ${p_weight_age}&lt;100,"1","--"),if(${p_age}&gt;=36 and ${p_age}&lt;60,"1","--"))</v>
      </c>
      <c r="K164" s="2" t="str">
        <f>GenerateDrugString(Table2[[#This Row],[Min_weight_kg]],Table2[[#This Row],[Max_weight_kg]],Table2[[#This Row],[rate]],Table35[kg])</f>
        <v>1 1 1</v>
      </c>
      <c r="L164" s="2" t="str">
        <f>CONCATENATE(Table2[[#This Row],[drugStringLine]],IF(TRIM(Table2[[#This Row],[drugStringLine]])="",""," "),IF(Table2[[#This Row],[drug]]=A165,L165,""))</f>
        <v xml:space="preserve">1 1 1 </v>
      </c>
    </row>
    <row r="165" spans="1:12">
      <c r="A165" t="s">
        <v>33</v>
      </c>
      <c r="B165" t="str">
        <f>IF(Table2[[#This Row],[drug]]&lt;&gt;A164,Table2[[#This Row],[drug]],"")</f>
        <v>ciprofloxacin_tab</v>
      </c>
      <c r="C165">
        <v>0</v>
      </c>
      <c r="D165">
        <v>4</v>
      </c>
      <c r="E165">
        <v>0</v>
      </c>
      <c r="F165">
        <v>2</v>
      </c>
      <c r="G165" t="s">
        <v>60</v>
      </c>
      <c r="H165" s="2" t="str">
        <f>CONCATENATE("if(${p_weight_age}&gt;=",Table2[[#This Row],[Min_weight_kg]]," and ${p_weight_age}&lt;",Table2[[#This Row],[Max_weight_kg]],",""",Table2[[#This Row],[rate]],""",",IF(Table2[[#This Row],[drug]]=A166,H166,"""--"""),")")</f>
        <v>if(${p_weight_age}&gt;=0 and ${p_weight_age}&lt;4,"--",if(${p_weight_age}&gt;=4 and ${p_weight_age}&lt;6,"1/4",if(${p_weight_age}&gt;=6 and ${p_weight_age}&lt;15,"1/2",if(${p_weight_age}&gt;=15 and ${p_weight_age}&lt;100,"1","--"))))</v>
      </c>
      <c r="I165" s="2" t="str">
        <f>CONCATENATE("if(${p_age}&gt;=",Table2[[#This Row],[Min_age_months]]," and ${p_age}&lt;",Table2[[#This Row],[Max_age_months]],",""",Table2[[#This Row],[rate]],""",",IF(Table2[[#This Row],[drug]]=A166,I166,"""--"""),")")</f>
        <v>if(${p_age}&gt;=0 and ${p_age}&lt;2,"--",if(${p_age}&gt;=2 and ${p_age}&lt;4,"1/4",if(${p_age}&gt;=4 and ${p_age}&lt;36,"1/2",if(${p_age}&gt;=36 and ${p_age}&lt;61,"1","--"))))</v>
      </c>
      <c r="J165" s="2" t="str">
        <f>CONCATENATE("if(${p_weight}&gt;0,",Table2[[#This Row],[Formula weight]],",",Table2[[#This Row],[Formula Age]],")")</f>
        <v>if(${p_weight}&gt;0,if(${p_weight_age}&gt;=0 and ${p_weight_age}&lt;4,"--",if(${p_weight_age}&gt;=4 and ${p_weight_age}&lt;6,"1/4",if(${p_weight_age}&gt;=6 and ${p_weight_age}&lt;15,"1/2",if(${p_weight_age}&gt;=15 and ${p_weight_age}&lt;100,"1","--")))),if(${p_age}&gt;=0 and ${p_age}&lt;2,"--",if(${p_age}&gt;=2 and ${p_age}&lt;4,"1/4",if(${p_age}&gt;=4 and ${p_age}&lt;36,"1/2",if(${p_age}&gt;=36 and ${p_age}&lt;61,"1","--")))))</v>
      </c>
      <c r="K165" s="2" t="str">
        <f>GenerateDrugString(Table2[[#This Row],[Min_weight_kg]],Table2[[#This Row],[Max_weight_kg]],Table2[[#This Row],[rate]],Table35[kg])</f>
        <v>-- -- --</v>
      </c>
      <c r="L165" s="2" t="str">
        <f>CONCATENATE(Table2[[#This Row],[drugStringLine]],IF(TRIM(Table2[[#This Row],[drugStringLine]])="",""," "),IF(Table2[[#This Row],[drug]]=A166,L166,""))</f>
        <v xml:space="preserve">-- -- -- 1/4 1/4 1/4 1/2 1/2 1/2 1/2 1/2 1/2 1/2 1/2 1/2 1 1 1 </v>
      </c>
    </row>
    <row r="166" spans="1:12">
      <c r="A166" t="s">
        <v>33</v>
      </c>
      <c r="B166" t="str">
        <f>IF(Table2[[#This Row],[drug]]&lt;&gt;A165,Table2[[#This Row],[drug]],"")</f>
        <v/>
      </c>
      <c r="C166">
        <v>4</v>
      </c>
      <c r="D166">
        <v>6</v>
      </c>
      <c r="E166">
        <v>2</v>
      </c>
      <c r="F166">
        <v>4</v>
      </c>
      <c r="G166" t="s">
        <v>4</v>
      </c>
      <c r="H166" s="2" t="str">
        <f>CONCATENATE("if(${p_weight_age}&gt;=",Table2[[#This Row],[Min_weight_kg]]," and ${p_weight_age}&lt;",Table2[[#This Row],[Max_weight_kg]],",""",Table2[[#This Row],[rate]],""",",IF(Table2[[#This Row],[drug]]=A167,H167,"""--"""),")")</f>
        <v>if(${p_weight_age}&gt;=4 and ${p_weight_age}&lt;6,"1/4",if(${p_weight_age}&gt;=6 and ${p_weight_age}&lt;15,"1/2",if(${p_weight_age}&gt;=15 and ${p_weight_age}&lt;100,"1","--")))</v>
      </c>
      <c r="I166" s="2" t="str">
        <f>CONCATENATE("if(${p_age}&gt;=",Table2[[#This Row],[Min_age_months]]," and ${p_age}&lt;",Table2[[#This Row],[Max_age_months]],",""",Table2[[#This Row],[rate]],""",",IF(Table2[[#This Row],[drug]]=A167,I167,"""--"""),")")</f>
        <v>if(${p_age}&gt;=2 and ${p_age}&lt;4,"1/4",if(${p_age}&gt;=4 and ${p_age}&lt;36,"1/2",if(${p_age}&gt;=36 and ${p_age}&lt;61,"1","--")))</v>
      </c>
      <c r="J166" s="2" t="str">
        <f>CONCATENATE("if(${p_weight}&gt;0,",Table2[[#This Row],[Formula weight]],",",Table2[[#This Row],[Formula Age]],")")</f>
        <v>if(${p_weight}&gt;0,if(${p_weight_age}&gt;=4 and ${p_weight_age}&lt;6,"1/4",if(${p_weight_age}&gt;=6 and ${p_weight_age}&lt;15,"1/2",if(${p_weight_age}&gt;=15 and ${p_weight_age}&lt;100,"1","--"))),if(${p_age}&gt;=2 and ${p_age}&lt;4,"1/4",if(${p_age}&gt;=4 and ${p_age}&lt;36,"1/2",if(${p_age}&gt;=36 and ${p_age}&lt;61,"1","--"))))</v>
      </c>
      <c r="K166" s="2" t="str">
        <f>GenerateDrugString(Table2[[#This Row],[Min_weight_kg]],Table2[[#This Row],[Max_weight_kg]],Table2[[#This Row],[rate]],Table35[kg])</f>
        <v>1/4 1/4 1/4</v>
      </c>
      <c r="L166" s="2" t="str">
        <f>CONCATENATE(Table2[[#This Row],[drugStringLine]],IF(TRIM(Table2[[#This Row],[drugStringLine]])="",""," "),IF(Table2[[#This Row],[drug]]=A167,L167,""))</f>
        <v xml:space="preserve">1/4 1/4 1/4 1/2 1/2 1/2 1/2 1/2 1/2 1/2 1/2 1/2 1 1 1 </v>
      </c>
    </row>
    <row r="167" spans="1:12">
      <c r="A167" t="s">
        <v>33</v>
      </c>
      <c r="B167" t="str">
        <f>IF(Table2[[#This Row],[drug]]&lt;&gt;A166,Table2[[#This Row],[drug]],"")</f>
        <v/>
      </c>
      <c r="C167">
        <v>6</v>
      </c>
      <c r="D167">
        <v>15</v>
      </c>
      <c r="E167">
        <v>4</v>
      </c>
      <c r="F167">
        <v>36</v>
      </c>
      <c r="G167" t="s">
        <v>5</v>
      </c>
      <c r="H167" s="2" t="str">
        <f>CONCATENATE("if(${p_weight_age}&gt;=",Table2[[#This Row],[Min_weight_kg]]," and ${p_weight_age}&lt;",Table2[[#This Row],[Max_weight_kg]],",""",Table2[[#This Row],[rate]],""",",IF(Table2[[#This Row],[drug]]=A168,H168,"""--"""),")")</f>
        <v>if(${p_weight_age}&gt;=6 and ${p_weight_age}&lt;15,"1/2",if(${p_weight_age}&gt;=15 and ${p_weight_age}&lt;100,"1","--"))</v>
      </c>
      <c r="I167" s="2" t="str">
        <f>CONCATENATE("if(${p_age}&gt;=",Table2[[#This Row],[Min_age_months]]," and ${p_age}&lt;",Table2[[#This Row],[Max_age_months]],",""",Table2[[#This Row],[rate]],""",",IF(Table2[[#This Row],[drug]]=A168,I168,"""--"""),")")</f>
        <v>if(${p_age}&gt;=4 and ${p_age}&lt;36,"1/2",if(${p_age}&gt;=36 and ${p_age}&lt;61,"1","--"))</v>
      </c>
      <c r="J167" s="2" t="str">
        <f>CONCATENATE("if(${p_weight}&gt;0,",Table2[[#This Row],[Formula weight]],",",Table2[[#This Row],[Formula Age]],")")</f>
        <v>if(${p_weight}&gt;0,if(${p_weight_age}&gt;=6 and ${p_weight_age}&lt;15,"1/2",if(${p_weight_age}&gt;=15 and ${p_weight_age}&lt;100,"1","--")),if(${p_age}&gt;=4 and ${p_age}&lt;36,"1/2",if(${p_age}&gt;=36 and ${p_age}&lt;61,"1","--")))</v>
      </c>
      <c r="K167" s="2" t="str">
        <f>GenerateDrugString(Table2[[#This Row],[Min_weight_kg]],Table2[[#This Row],[Max_weight_kg]],Table2[[#This Row],[rate]],Table35[kg])</f>
        <v>1/2 1/2 1/2 1/2 1/2 1/2 1/2 1/2 1/2</v>
      </c>
      <c r="L167" s="2" t="str">
        <f>CONCATENATE(Table2[[#This Row],[drugStringLine]],IF(TRIM(Table2[[#This Row],[drugStringLine]])="",""," "),IF(Table2[[#This Row],[drug]]=A168,L168,""))</f>
        <v xml:space="preserve">1/2 1/2 1/2 1/2 1/2 1/2 1/2 1/2 1/2 1 1 1 </v>
      </c>
    </row>
    <row r="168" spans="1:12">
      <c r="A168" t="s">
        <v>33</v>
      </c>
      <c r="B168" t="str">
        <f>IF(Table2[[#This Row],[drug]]&lt;&gt;A167,Table2[[#This Row],[drug]],"")</f>
        <v/>
      </c>
      <c r="C168">
        <v>15</v>
      </c>
      <c r="D168">
        <v>100</v>
      </c>
      <c r="E168">
        <v>36</v>
      </c>
      <c r="F168">
        <v>61</v>
      </c>
      <c r="G168">
        <v>1</v>
      </c>
      <c r="H168" s="2" t="str">
        <f>CONCATENATE("if(${p_weight_age}&gt;=",Table2[[#This Row],[Min_weight_kg]]," and ${p_weight_age}&lt;",Table2[[#This Row],[Max_weight_kg]],",""",Table2[[#This Row],[rate]],""",",IF(Table2[[#This Row],[drug]]=A169,H169,"""--"""),")")</f>
        <v>if(${p_weight_age}&gt;=15 and ${p_weight_age}&lt;100,"1","--")</v>
      </c>
      <c r="I168" s="2" t="str">
        <f>CONCATENATE("if(${p_age}&gt;=",Table2[[#This Row],[Min_age_months]]," and ${p_age}&lt;",Table2[[#This Row],[Max_age_months]],",""",Table2[[#This Row],[rate]],""",",IF(Table2[[#This Row],[drug]]=A169,I169,"""--"""),")")</f>
        <v>if(${p_age}&gt;=36 and ${p_age}&lt;61,"1","--")</v>
      </c>
      <c r="J168" s="2" t="str">
        <f>CONCATENATE("if(${p_weight}&gt;0,",Table2[[#This Row],[Formula weight]],",",Table2[[#This Row],[Formula Age]],")")</f>
        <v>if(${p_weight}&gt;0,if(${p_weight_age}&gt;=15 and ${p_weight_age}&lt;100,"1","--"),if(${p_age}&gt;=36 and ${p_age}&lt;61,"1","--"))</v>
      </c>
      <c r="K168" s="2" t="str">
        <f>GenerateDrugString(Table2[[#This Row],[Min_weight_kg]],Table2[[#This Row],[Max_weight_kg]],Table2[[#This Row],[rate]],Table35[kg])</f>
        <v>1 1 1</v>
      </c>
      <c r="L168" s="2" t="str">
        <f>CONCATENATE(Table2[[#This Row],[drugStringLine]],IF(TRIM(Table2[[#This Row],[drugStringLine]])="",""," "),IF(Table2[[#This Row],[drug]]=A169,L169,""))</f>
        <v xml:space="preserve">1 1 1 </v>
      </c>
    </row>
    <row r="169" spans="1:12">
      <c r="A169" t="s">
        <v>34</v>
      </c>
      <c r="B169" t="str">
        <f>IF(Table2[[#This Row],[drug]]&lt;&gt;A168,Table2[[#This Row],[drug]],"")</f>
        <v>penicillin_ml</v>
      </c>
      <c r="C169">
        <v>0</v>
      </c>
      <c r="D169">
        <v>10</v>
      </c>
      <c r="E169">
        <v>2</v>
      </c>
      <c r="F169">
        <v>12</v>
      </c>
      <c r="G169">
        <v>1.25</v>
      </c>
      <c r="H169" s="2" t="str">
        <f>CONCATENATE("if(${p_weight_age}&gt;=",Table2[[#This Row],[Min_weight_kg]]," and ${p_weight_age}&lt;",Table2[[#This Row],[Max_weight_kg]],",""",Table2[[#This Row],[rate]],""",",IF(Table2[[#This Row],[drug]]=A170,H170,"""--"""),")")</f>
        <v>if(${p_weight_age}&gt;=0 and ${p_weight_age}&lt;10,"1.25",if(${p_weight_age}&gt;=10 and ${p_weight_age}&lt;100,"2.5","--"))</v>
      </c>
      <c r="I169" s="2" t="str">
        <f>CONCATENATE("if(${p_age}&gt;=",Table2[[#This Row],[Min_age_months]]," and ${p_age}&lt;",Table2[[#This Row],[Max_age_months]],",""",Table2[[#This Row],[rate]],""",",IF(Table2[[#This Row],[drug]]=A170,I170,"""--"""),")")</f>
        <v>if(${p_age}&gt;=2 and ${p_age}&lt;12,"1.25",if(${p_age}&gt;=12 and ${p_age}&lt;61,"2.5","--"))</v>
      </c>
      <c r="J169" s="2" t="str">
        <f>CONCATENATE("if(${p_weight}&gt;0,",Table2[[#This Row],[Formula weight]],",",Table2[[#This Row],[Formula Age]],")")</f>
        <v>if(${p_weight}&gt;0,if(${p_weight_age}&gt;=0 and ${p_weight_age}&lt;10,"1.25",if(${p_weight_age}&gt;=10 and ${p_weight_age}&lt;100,"2.5","--")),if(${p_age}&gt;=2 and ${p_age}&lt;12,"1.25",if(${p_age}&gt;=12 and ${p_age}&lt;61,"2.5","--")))</v>
      </c>
      <c r="K169" s="2" t="str">
        <f>GenerateDrugString(Table2[[#This Row],[Min_weight_kg]],Table2[[#This Row],[Max_weight_kg]],Table2[[#This Row],[rate]],Table35[kg])</f>
        <v>1.25 1.25 1.25 1.25 1.25 1.25 1.25 1.25 1.25 1.25 1.25</v>
      </c>
      <c r="L169" s="2" t="str">
        <f>CONCATENATE(Table2[[#This Row],[drugStringLine]],IF(TRIM(Table2[[#This Row],[drugStringLine]])="",""," "),IF(Table2[[#This Row],[drug]]=A170,L170,""))</f>
        <v xml:space="preserve">1.25 1.25 1.25 1.25 1.25 1.25 1.25 1.25 1.25 1.25 1.25 2.5 2.5 2.5 2.5 2.5 2.5 2.5 </v>
      </c>
    </row>
    <row r="170" spans="1:12">
      <c r="A170" t="s">
        <v>34</v>
      </c>
      <c r="B170" t="str">
        <f>IF(Table2[[#This Row],[drug]]&lt;&gt;A169,Table2[[#This Row],[drug]],"")</f>
        <v/>
      </c>
      <c r="C170">
        <v>10</v>
      </c>
      <c r="D170">
        <v>100</v>
      </c>
      <c r="E170">
        <v>12</v>
      </c>
      <c r="F170">
        <v>61</v>
      </c>
      <c r="G170">
        <v>2.5</v>
      </c>
      <c r="H170" s="2" t="str">
        <f>CONCATENATE("if(${p_weight_age}&gt;=",Table2[[#This Row],[Min_weight_kg]]," and ${p_weight_age}&lt;",Table2[[#This Row],[Max_weight_kg]],",""",Table2[[#This Row],[rate]],""",",IF(Table2[[#This Row],[drug]]=A171,H171,"""--"""),")")</f>
        <v>if(${p_weight_age}&gt;=10 and ${p_weight_age}&lt;100,"2.5","--")</v>
      </c>
      <c r="I170" s="2" t="str">
        <f>CONCATENATE("if(${p_age}&gt;=",Table2[[#This Row],[Min_age_months]]," and ${p_age}&lt;",Table2[[#This Row],[Max_age_months]],",""",Table2[[#This Row],[rate]],""",",IF(Table2[[#This Row],[drug]]=A171,I171,"""--"""),")")</f>
        <v>if(${p_age}&gt;=12 and ${p_age}&lt;61,"2.5","--")</v>
      </c>
      <c r="J170" s="2" t="str">
        <f>CONCATENATE("if(${p_weight}&gt;0,",Table2[[#This Row],[Formula weight]],",",Table2[[#This Row],[Formula Age]],")")</f>
        <v>if(${p_weight}&gt;0,if(${p_weight_age}&gt;=10 and ${p_weight_age}&lt;100,"2.5","--"),if(${p_age}&gt;=12 and ${p_age}&lt;61,"2.5","--"))</v>
      </c>
      <c r="K170" s="2" t="str">
        <f>GenerateDrugString(Table2[[#This Row],[Min_weight_kg]],Table2[[#This Row],[Max_weight_kg]],Table2[[#This Row],[rate]],Table35[kg])</f>
        <v>2.5 2.5 2.5 2.5 2.5 2.5 2.5</v>
      </c>
      <c r="L170" s="2" t="str">
        <f>CONCATENATE(Table2[[#This Row],[drugStringLine]],IF(TRIM(Table2[[#This Row],[drugStringLine]])="",""," "),IF(Table2[[#This Row],[drug]]=A171,L171,""))</f>
        <v xml:space="preserve">2.5 2.5 2.5 2.5 2.5 2.5 2.5 </v>
      </c>
    </row>
    <row r="171" spans="1:12">
      <c r="A171" t="s">
        <v>35</v>
      </c>
      <c r="B171" t="str">
        <f>IF(Table2[[#This Row],[drug]]&lt;&gt;A170,Table2[[#This Row],[drug]],"")</f>
        <v>penicillin_tab</v>
      </c>
      <c r="C171">
        <v>0</v>
      </c>
      <c r="D171">
        <v>10</v>
      </c>
      <c r="E171">
        <v>2</v>
      </c>
      <c r="F171">
        <v>12</v>
      </c>
      <c r="G171" t="s">
        <v>4</v>
      </c>
      <c r="H171" s="2" t="str">
        <f>CONCATENATE("if(${p_weight_age}&gt;=",Table2[[#This Row],[Min_weight_kg]]," and ${p_weight_age}&lt;",Table2[[#This Row],[Max_weight_kg]],",""",Table2[[#This Row],[rate]],""",",IF(Table2[[#This Row],[drug]]=A172,H172,"""--"""),")")</f>
        <v>if(${p_weight_age}&gt;=0 and ${p_weight_age}&lt;10,"1/4",if(${p_weight_age}&gt;=10 and ${p_weight_age}&lt;100,"1/2","--"))</v>
      </c>
      <c r="I171" s="2" t="str">
        <f>CONCATENATE("if(${p_age}&gt;=",Table2[[#This Row],[Min_age_months]]," and ${p_age}&lt;",Table2[[#This Row],[Max_age_months]],",""",Table2[[#This Row],[rate]],""",",IF(Table2[[#This Row],[drug]]=A172,I172,"""--"""),")")</f>
        <v>if(${p_age}&gt;=2 and ${p_age}&lt;12,"1/4",if(${p_age}&gt;=12 and ${p_age}&lt;61,"1/2","--"))</v>
      </c>
      <c r="J171" s="2" t="str">
        <f>CONCATENATE("if(${p_weight}&gt;0,",Table2[[#This Row],[Formula weight]],",",Table2[[#This Row],[Formula Age]],")")</f>
        <v>if(${p_weight}&gt;0,if(${p_weight_age}&gt;=0 and ${p_weight_age}&lt;10,"1/4",if(${p_weight_age}&gt;=10 and ${p_weight_age}&lt;100,"1/2","--")),if(${p_age}&gt;=2 and ${p_age}&lt;12,"1/4",if(${p_age}&gt;=12 and ${p_age}&lt;61,"1/2","--")))</v>
      </c>
      <c r="K171" s="2" t="str">
        <f>GenerateDrugString(Table2[[#This Row],[Min_weight_kg]],Table2[[#This Row],[Max_weight_kg]],Table2[[#This Row],[rate]],Table35[kg])</f>
        <v>1/4 1/4 1/4 1/4 1/4 1/4 1/4 1/4 1/4 1/4 1/4</v>
      </c>
      <c r="L171" s="2" t="str">
        <f>CONCATENATE(Table2[[#This Row],[drugStringLine]],IF(TRIM(Table2[[#This Row],[drugStringLine]])="",""," "),IF(Table2[[#This Row],[drug]]=A172,L172,""))</f>
        <v xml:space="preserve">1/4 1/4 1/4 1/4 1/4 1/4 1/4 1/4 1/4 1/4 1/4 1/2 1/2 1/2 1/2 1/2 1/2 1/2 </v>
      </c>
    </row>
    <row r="172" spans="1:12">
      <c r="A172" t="s">
        <v>35</v>
      </c>
      <c r="B172" t="str">
        <f>IF(Table2[[#This Row],[drug]]&lt;&gt;A171,Table2[[#This Row],[drug]],"")</f>
        <v/>
      </c>
      <c r="C172">
        <v>10</v>
      </c>
      <c r="D172">
        <v>100</v>
      </c>
      <c r="E172">
        <v>12</v>
      </c>
      <c r="F172">
        <v>61</v>
      </c>
      <c r="G172" t="s">
        <v>5</v>
      </c>
      <c r="H172" s="2" t="str">
        <f>CONCATENATE("if(${p_weight_age}&gt;=",Table2[[#This Row],[Min_weight_kg]]," and ${p_weight_age}&lt;",Table2[[#This Row],[Max_weight_kg]],",""",Table2[[#This Row],[rate]],""",",IF(Table2[[#This Row],[drug]]=A173,H173,"""--"""),")")</f>
        <v>if(${p_weight_age}&gt;=10 and ${p_weight_age}&lt;100,"1/2","--")</v>
      </c>
      <c r="I172" s="2" t="str">
        <f>CONCATENATE("if(${p_age}&gt;=",Table2[[#This Row],[Min_age_months]]," and ${p_age}&lt;",Table2[[#This Row],[Max_age_months]],",""",Table2[[#This Row],[rate]],""",",IF(Table2[[#This Row],[drug]]=A173,I173,"""--"""),")")</f>
        <v>if(${p_age}&gt;=12 and ${p_age}&lt;61,"1/2","--")</v>
      </c>
      <c r="J172" s="2" t="str">
        <f>CONCATENATE("if(${p_weight}&gt;0,",Table2[[#This Row],[Formula weight]],",",Table2[[#This Row],[Formula Age]],")")</f>
        <v>if(${p_weight}&gt;0,if(${p_weight_age}&gt;=10 and ${p_weight_age}&lt;100,"1/2","--"),if(${p_age}&gt;=12 and ${p_age}&lt;61,"1/2","--"))</v>
      </c>
      <c r="K172" s="2" t="str">
        <f>GenerateDrugString(Table2[[#This Row],[Min_weight_kg]],Table2[[#This Row],[Max_weight_kg]],Table2[[#This Row],[rate]],Table35[kg])</f>
        <v>1/2 1/2 1/2 1/2 1/2 1/2 1/2</v>
      </c>
      <c r="L172" s="2" t="str">
        <f>CONCATENATE(Table2[[#This Row],[drugStringLine]],IF(TRIM(Table2[[#This Row],[drugStringLine]])="",""," "),IF(Table2[[#This Row],[drug]]=A173,L173,""))</f>
        <v xml:space="preserve">1/2 1/2 1/2 1/2 1/2 1/2 1/2 </v>
      </c>
    </row>
    <row r="173" spans="1:12">
      <c r="A173" t="s">
        <v>36</v>
      </c>
      <c r="B173" t="str">
        <f>IF(Table2[[#This Row],[drug]]&lt;&gt;A172,Table2[[#This Row],[drug]],"")</f>
        <v>cotrimoxazole_ml</v>
      </c>
      <c r="C173">
        <v>0</v>
      </c>
      <c r="D173">
        <v>4</v>
      </c>
      <c r="E173">
        <v>0</v>
      </c>
      <c r="F173">
        <v>2</v>
      </c>
      <c r="G173">
        <v>0</v>
      </c>
      <c r="H173" s="2" t="str">
        <f>CONCATENATE("if(${p_weight_age}&gt;=",Table2[[#This Row],[Min_weight_kg]]," and ${p_weight_age}&lt;",Table2[[#This Row],[Max_weight_kg]],",""",Table2[[#This Row],[rate]],""",",IF(Table2[[#This Row],[drug]]=A174,H174,"""--"""),")")</f>
        <v>if(${p_weight_age}&gt;=0 and ${p_weight_age}&lt;4,"0",if(${p_weight_age}&gt;=4 and ${p_weight_age}&lt;6,"2",if(${p_weight_age}&gt;=6 and ${p_weight_age}&lt;10,"3.5",if(${p_weight_age}&gt;=10 and ${p_weight_age}&lt;15,"6",if(${p_weight_age}&gt;=15 and ${p_weight_age}&lt;100,"8.5","--")))))</v>
      </c>
      <c r="I173" s="2" t="str">
        <f>CONCATENATE("if(${p_age}&gt;=",Table2[[#This Row],[Min_age_months]]," and ${p_age}&lt;",Table2[[#This Row],[Max_age_months]],",""",Table2[[#This Row],[rate]],""",",IF(Table2[[#This Row],[drug]]=A174,I174,"""--"""),")")</f>
        <v>if(${p_age}&gt;=0 and ${p_age}&lt;2,"0",if(${p_age}&gt;=2 and ${p_age}&lt;4,"2",if(${p_age}&gt;=4 and ${p_age}&lt;12,"3.5",if(${p_age}&gt;=12 and ${p_age}&lt;36,"6",if(${p_age}&gt;=36 and ${p_age}&lt;61,"8.5","--")))))</v>
      </c>
      <c r="J173" s="2" t="str">
        <f>CONCATENATE("if(${p_weight}&gt;0,",Table2[[#This Row],[Formula weight]],",",Table2[[#This Row],[Formula Age]],")")</f>
        <v>if(${p_weight}&gt;0,if(${p_weight_age}&gt;=0 and ${p_weight_age}&lt;4,"0",if(${p_weight_age}&gt;=4 and ${p_weight_age}&lt;6,"2",if(${p_weight_age}&gt;=6 and ${p_weight_age}&lt;10,"3.5",if(${p_weight_age}&gt;=10 and ${p_weight_age}&lt;15,"6",if(${p_weight_age}&gt;=15 and ${p_weight_age}&lt;100,"8.5","--"))))),if(${p_age}&gt;=0 and ${p_age}&lt;2,"0",if(${p_age}&gt;=2 and ${p_age}&lt;4,"2",if(${p_age}&gt;=4 and ${p_age}&lt;12,"3.5",if(${p_age}&gt;=12 and ${p_age}&lt;36,"6",if(${p_age}&gt;=36 and ${p_age}&lt;61,"8.5","--"))))))</v>
      </c>
      <c r="K173" s="2" t="str">
        <f>GenerateDrugString(Table2[[#This Row],[Min_weight_kg]],Table2[[#This Row],[Max_weight_kg]],Table2[[#This Row],[rate]],Table35[kg])</f>
        <v>0 0 0</v>
      </c>
      <c r="L173" s="2" t="str">
        <f>CONCATENATE(Table2[[#This Row],[drugStringLine]],IF(TRIM(Table2[[#This Row],[drugStringLine]])="",""," "),IF(Table2[[#This Row],[drug]]=A174,L174,""))</f>
        <v xml:space="preserve">0 0 0 2 2 2 3.5 3.5 3.5 3.5 3.5 6 6 6 6 8.5 8.5 8.5 </v>
      </c>
    </row>
    <row r="174" spans="1:12">
      <c r="A174" t="s">
        <v>36</v>
      </c>
      <c r="B174" t="str">
        <f>IF(Table2[[#This Row],[drug]]&lt;&gt;A173,Table2[[#This Row],[drug]],"")</f>
        <v/>
      </c>
      <c r="C174">
        <v>4</v>
      </c>
      <c r="D174">
        <v>6</v>
      </c>
      <c r="E174">
        <v>2</v>
      </c>
      <c r="F174">
        <v>4</v>
      </c>
      <c r="G174">
        <v>2</v>
      </c>
      <c r="H174" s="2" t="str">
        <f>CONCATENATE("if(${p_weight_age}&gt;=",Table2[[#This Row],[Min_weight_kg]]," and ${p_weight_age}&lt;",Table2[[#This Row],[Max_weight_kg]],",""",Table2[[#This Row],[rate]],""",",IF(Table2[[#This Row],[drug]]=A175,H175,"""--"""),")")</f>
        <v>if(${p_weight_age}&gt;=4 and ${p_weight_age}&lt;6,"2",if(${p_weight_age}&gt;=6 and ${p_weight_age}&lt;10,"3.5",if(${p_weight_age}&gt;=10 and ${p_weight_age}&lt;15,"6",if(${p_weight_age}&gt;=15 and ${p_weight_age}&lt;100,"8.5","--"))))</v>
      </c>
      <c r="I174" s="2" t="str">
        <f>CONCATENATE("if(${p_age}&gt;=",Table2[[#This Row],[Min_age_months]]," and ${p_age}&lt;",Table2[[#This Row],[Max_age_months]],",""",Table2[[#This Row],[rate]],""",",IF(Table2[[#This Row],[drug]]=A175,I175,"""--"""),")")</f>
        <v>if(${p_age}&gt;=2 and ${p_age}&lt;4,"2",if(${p_age}&gt;=4 and ${p_age}&lt;12,"3.5",if(${p_age}&gt;=12 and ${p_age}&lt;36,"6",if(${p_age}&gt;=36 and ${p_age}&lt;61,"8.5","--"))))</v>
      </c>
      <c r="J174" s="2" t="str">
        <f>CONCATENATE("if(${p_weight}&gt;0,",Table2[[#This Row],[Formula weight]],",",Table2[[#This Row],[Formula Age]],")")</f>
        <v>if(${p_weight}&gt;0,if(${p_weight_age}&gt;=4 and ${p_weight_age}&lt;6,"2",if(${p_weight_age}&gt;=6 and ${p_weight_age}&lt;10,"3.5",if(${p_weight_age}&gt;=10 and ${p_weight_age}&lt;15,"6",if(${p_weight_age}&gt;=15 and ${p_weight_age}&lt;100,"8.5","--")))),if(${p_age}&gt;=2 and ${p_age}&lt;4,"2",if(${p_age}&gt;=4 and ${p_age}&lt;12,"3.5",if(${p_age}&gt;=12 and ${p_age}&lt;36,"6",if(${p_age}&gt;=36 and ${p_age}&lt;61,"8.5","--")))))</v>
      </c>
      <c r="K174" s="2" t="str">
        <f>GenerateDrugString(Table2[[#This Row],[Min_weight_kg]],Table2[[#This Row],[Max_weight_kg]],Table2[[#This Row],[rate]],Table35[kg])</f>
        <v>2 2 2</v>
      </c>
      <c r="L174" s="2" t="str">
        <f>CONCATENATE(Table2[[#This Row],[drugStringLine]],IF(TRIM(Table2[[#This Row],[drugStringLine]])="",""," "),IF(Table2[[#This Row],[drug]]=A175,L175,""))</f>
        <v xml:space="preserve">2 2 2 3.5 3.5 3.5 3.5 3.5 6 6 6 6 8.5 8.5 8.5 </v>
      </c>
    </row>
    <row r="175" spans="1:12">
      <c r="A175" t="s">
        <v>36</v>
      </c>
      <c r="B175" t="str">
        <f>IF(Table2[[#This Row],[drug]]&lt;&gt;A174,Table2[[#This Row],[drug]],"")</f>
        <v/>
      </c>
      <c r="C175">
        <v>6</v>
      </c>
      <c r="D175">
        <v>10</v>
      </c>
      <c r="E175">
        <v>4</v>
      </c>
      <c r="F175">
        <v>12</v>
      </c>
      <c r="G175">
        <v>3.5</v>
      </c>
      <c r="H175" s="2" t="str">
        <f>CONCATENATE("if(${p_weight_age}&gt;=",Table2[[#This Row],[Min_weight_kg]]," and ${p_weight_age}&lt;",Table2[[#This Row],[Max_weight_kg]],",""",Table2[[#This Row],[rate]],""",",IF(Table2[[#This Row],[drug]]=A176,H176,"""--"""),")")</f>
        <v>if(${p_weight_age}&gt;=6 and ${p_weight_age}&lt;10,"3.5",if(${p_weight_age}&gt;=10 and ${p_weight_age}&lt;15,"6",if(${p_weight_age}&gt;=15 and ${p_weight_age}&lt;100,"8.5","--")))</v>
      </c>
      <c r="I175" s="2" t="str">
        <f>CONCATENATE("if(${p_age}&gt;=",Table2[[#This Row],[Min_age_months]]," and ${p_age}&lt;",Table2[[#This Row],[Max_age_months]],",""",Table2[[#This Row],[rate]],""",",IF(Table2[[#This Row],[drug]]=A176,I176,"""--"""),")")</f>
        <v>if(${p_age}&gt;=4 and ${p_age}&lt;12,"3.5",if(${p_age}&gt;=12 and ${p_age}&lt;36,"6",if(${p_age}&gt;=36 and ${p_age}&lt;61,"8.5","--")))</v>
      </c>
      <c r="J175" s="2" t="str">
        <f>CONCATENATE("if(${p_weight}&gt;0,",Table2[[#This Row],[Formula weight]],",",Table2[[#This Row],[Formula Age]],")")</f>
        <v>if(${p_weight}&gt;0,if(${p_weight_age}&gt;=6 and ${p_weight_age}&lt;10,"3.5",if(${p_weight_age}&gt;=10 and ${p_weight_age}&lt;15,"6",if(${p_weight_age}&gt;=15 and ${p_weight_age}&lt;100,"8.5","--"))),if(${p_age}&gt;=4 and ${p_age}&lt;12,"3.5",if(${p_age}&gt;=12 and ${p_age}&lt;36,"6",if(${p_age}&gt;=36 and ${p_age}&lt;61,"8.5","--"))))</v>
      </c>
      <c r="K175" s="2" t="str">
        <f>GenerateDrugString(Table2[[#This Row],[Min_weight_kg]],Table2[[#This Row],[Max_weight_kg]],Table2[[#This Row],[rate]],Table35[kg])</f>
        <v>3.5 3.5 3.5 3.5 3.5</v>
      </c>
      <c r="L175" s="2" t="str">
        <f>CONCATENATE(Table2[[#This Row],[drugStringLine]],IF(TRIM(Table2[[#This Row],[drugStringLine]])="",""," "),IF(Table2[[#This Row],[drug]]=A176,L176,""))</f>
        <v xml:space="preserve">3.5 3.5 3.5 3.5 3.5 6 6 6 6 8.5 8.5 8.5 </v>
      </c>
    </row>
    <row r="176" spans="1:12">
      <c r="A176" t="s">
        <v>36</v>
      </c>
      <c r="B176" t="str">
        <f>IF(Table2[[#This Row],[drug]]&lt;&gt;A175,Table2[[#This Row],[drug]],"")</f>
        <v/>
      </c>
      <c r="C176">
        <v>10</v>
      </c>
      <c r="D176">
        <v>15</v>
      </c>
      <c r="E176">
        <v>12</v>
      </c>
      <c r="F176">
        <v>36</v>
      </c>
      <c r="G176">
        <v>6</v>
      </c>
      <c r="H176" s="2" t="str">
        <f>CONCATENATE("if(${p_weight_age}&gt;=",Table2[[#This Row],[Min_weight_kg]]," and ${p_weight_age}&lt;",Table2[[#This Row],[Max_weight_kg]],",""",Table2[[#This Row],[rate]],""",",IF(Table2[[#This Row],[drug]]=A177,H177,"""--"""),")")</f>
        <v>if(${p_weight_age}&gt;=10 and ${p_weight_age}&lt;15,"6",if(${p_weight_age}&gt;=15 and ${p_weight_age}&lt;100,"8.5","--"))</v>
      </c>
      <c r="I176" s="2" t="str">
        <f>CONCATENATE("if(${p_age}&gt;=",Table2[[#This Row],[Min_age_months]]," and ${p_age}&lt;",Table2[[#This Row],[Max_age_months]],",""",Table2[[#This Row],[rate]],""",",IF(Table2[[#This Row],[drug]]=A177,I177,"""--"""),")")</f>
        <v>if(${p_age}&gt;=12 and ${p_age}&lt;36,"6",if(${p_age}&gt;=36 and ${p_age}&lt;61,"8.5","--"))</v>
      </c>
      <c r="J176" s="2" t="str">
        <f>CONCATENATE("if(${p_weight}&gt;0,",Table2[[#This Row],[Formula weight]],",",Table2[[#This Row],[Formula Age]],")")</f>
        <v>if(${p_weight}&gt;0,if(${p_weight_age}&gt;=10 and ${p_weight_age}&lt;15,"6",if(${p_weight_age}&gt;=15 and ${p_weight_age}&lt;100,"8.5","--")),if(${p_age}&gt;=12 and ${p_age}&lt;36,"6",if(${p_age}&gt;=36 and ${p_age}&lt;61,"8.5","--")))</v>
      </c>
      <c r="K176" s="2" t="str">
        <f>GenerateDrugString(Table2[[#This Row],[Min_weight_kg]],Table2[[#This Row],[Max_weight_kg]],Table2[[#This Row],[rate]],Table35[kg])</f>
        <v>6 6 6 6</v>
      </c>
      <c r="L176" s="2" t="str">
        <f>CONCATENATE(Table2[[#This Row],[drugStringLine]],IF(TRIM(Table2[[#This Row],[drugStringLine]])="",""," "),IF(Table2[[#This Row],[drug]]=A177,L177,""))</f>
        <v xml:space="preserve">6 6 6 6 8.5 8.5 8.5 </v>
      </c>
    </row>
    <row r="177" spans="1:12">
      <c r="A177" t="s">
        <v>36</v>
      </c>
      <c r="B177" t="str">
        <f>IF(Table2[[#This Row],[drug]]&lt;&gt;A176,Table2[[#This Row],[drug]],"")</f>
        <v/>
      </c>
      <c r="C177">
        <v>15</v>
      </c>
      <c r="D177">
        <v>100</v>
      </c>
      <c r="E177">
        <v>36</v>
      </c>
      <c r="F177">
        <v>61</v>
      </c>
      <c r="G177">
        <v>8.5</v>
      </c>
      <c r="H177" s="2" t="str">
        <f>CONCATENATE("if(${p_weight_age}&gt;=",Table2[[#This Row],[Min_weight_kg]]," and ${p_weight_age}&lt;",Table2[[#This Row],[Max_weight_kg]],",""",Table2[[#This Row],[rate]],""",",IF(Table2[[#This Row],[drug]]=A178,H178,"""--"""),")")</f>
        <v>if(${p_weight_age}&gt;=15 and ${p_weight_age}&lt;100,"8.5","--")</v>
      </c>
      <c r="I177" s="2" t="str">
        <f>CONCATENATE("if(${p_age}&gt;=",Table2[[#This Row],[Min_age_months]]," and ${p_age}&lt;",Table2[[#This Row],[Max_age_months]],",""",Table2[[#This Row],[rate]],""",",IF(Table2[[#This Row],[drug]]=A178,I178,"""--"""),")")</f>
        <v>if(${p_age}&gt;=36 and ${p_age}&lt;61,"8.5","--")</v>
      </c>
      <c r="J177" s="2" t="str">
        <f>CONCATENATE("if(${p_weight}&gt;0,",Table2[[#This Row],[Formula weight]],",",Table2[[#This Row],[Formula Age]],")")</f>
        <v>if(${p_weight}&gt;0,if(${p_weight_age}&gt;=15 and ${p_weight_age}&lt;100,"8.5","--"),if(${p_age}&gt;=36 and ${p_age}&lt;61,"8.5","--"))</v>
      </c>
      <c r="K177" s="2" t="str">
        <f>GenerateDrugString(Table2[[#This Row],[Min_weight_kg]],Table2[[#This Row],[Max_weight_kg]],Table2[[#This Row],[rate]],Table35[kg])</f>
        <v>8.5 8.5 8.5</v>
      </c>
      <c r="L177" s="2" t="str">
        <f>CONCATENATE(Table2[[#This Row],[drugStringLine]],IF(TRIM(Table2[[#This Row],[drugStringLine]])="",""," "),IF(Table2[[#This Row],[drug]]=A178,L178,""))</f>
        <v xml:space="preserve">8.5 8.5 8.5 </v>
      </c>
    </row>
    <row r="178" spans="1:12">
      <c r="A178" t="s">
        <v>37</v>
      </c>
      <c r="B178" t="str">
        <f>IF(Table2[[#This Row],[drug]]&lt;&gt;A177,Table2[[#This Row],[drug]],"")</f>
        <v>cotrimoxazole_tab</v>
      </c>
      <c r="C178">
        <v>0</v>
      </c>
      <c r="D178">
        <v>4</v>
      </c>
      <c r="E178">
        <v>0</v>
      </c>
      <c r="F178">
        <v>2</v>
      </c>
      <c r="G178" t="s">
        <v>60</v>
      </c>
      <c r="H178" s="2" t="str">
        <f>CONCATENATE("if(${p_weight_age}&gt;=",Table2[[#This Row],[Min_weight_kg]]," and ${p_weight_age}&lt;",Table2[[#This Row],[Max_weight_kg]],",""",Table2[[#This Row],[rate]],""",",IF(Table2[[#This Row],[drug]]=A179,H179,"""--"""),")")</f>
        <v>if(${p_weight_age}&gt;=0 and ${p_weight_age}&lt;4,"--",if(${p_weight_age}&gt;=4 and ${p_weight_age}&lt;6,"1/4",if(${p_weight_age}&gt;=6 and ${p_weight_age}&lt;10,"1/2",if(${p_weight_age}&gt;=10 and ${p_weight_age}&lt;15,"1",if(${p_weight_age}&gt;=15 and ${p_weight_age}&lt;100,"1","--")))))</v>
      </c>
      <c r="I178" s="2" t="str">
        <f>CONCATENATE("if(${p_age}&gt;=",Table2[[#This Row],[Min_age_months]]," and ${p_age}&lt;",Table2[[#This Row],[Max_age_months]],",""",Table2[[#This Row],[rate]],""",",IF(Table2[[#This Row],[drug]]=A179,I179,"""--"""),")")</f>
        <v>if(${p_age}&gt;=0 and ${p_age}&lt;2,"--",if(${p_age}&gt;=2 and ${p_age}&lt;4,"1/4",if(${p_age}&gt;=4 and ${p_age}&lt;12,"1/2",if(${p_age}&gt;=12 and ${p_age}&lt;36,"1",if(${p_age}&gt;=36 and ${p_age}&lt;61,"1","--")))))</v>
      </c>
      <c r="J178" s="2" t="str">
        <f>CONCATENATE("if(${p_weight}&gt;0,",Table2[[#This Row],[Formula weight]],",",Table2[[#This Row],[Formula Age]],")")</f>
        <v>if(${p_weight}&gt;0,if(${p_weight_age}&gt;=0 and ${p_weight_age}&lt;4,"--",if(${p_weight_age}&gt;=4 and ${p_weight_age}&lt;6,"1/4",if(${p_weight_age}&gt;=6 and ${p_weight_age}&lt;10,"1/2",if(${p_weight_age}&gt;=10 and ${p_weight_age}&lt;15,"1",if(${p_weight_age}&gt;=15 and ${p_weight_age}&lt;100,"1","--"))))),if(${p_age}&gt;=0 and ${p_age}&lt;2,"--",if(${p_age}&gt;=2 and ${p_age}&lt;4,"1/4",if(${p_age}&gt;=4 and ${p_age}&lt;12,"1/2",if(${p_age}&gt;=12 and ${p_age}&lt;36,"1",if(${p_age}&gt;=36 and ${p_age}&lt;61,"1","--"))))))</v>
      </c>
      <c r="K178" s="2" t="str">
        <f>GenerateDrugString(Table2[[#This Row],[Min_weight_kg]],Table2[[#This Row],[Max_weight_kg]],Table2[[#This Row],[rate]],Table35[kg])</f>
        <v>-- -- --</v>
      </c>
      <c r="L178" s="2" t="str">
        <f>CONCATENATE(Table2[[#This Row],[drugStringLine]],IF(TRIM(Table2[[#This Row],[drugStringLine]])="",""," "),IF(Table2[[#This Row],[drug]]=A179,L179,""))</f>
        <v xml:space="preserve">-- -- -- 1/4 1/4 1/4 1/2 1/2 1/2 1/2 1/2 1 1 1 1 1 1 1 </v>
      </c>
    </row>
    <row r="179" spans="1:12">
      <c r="A179" t="s">
        <v>37</v>
      </c>
      <c r="B179" t="str">
        <f>IF(Table2[[#This Row],[drug]]&lt;&gt;A178,Table2[[#This Row],[drug]],"")</f>
        <v/>
      </c>
      <c r="C179">
        <v>4</v>
      </c>
      <c r="D179">
        <v>6</v>
      </c>
      <c r="E179">
        <v>2</v>
      </c>
      <c r="F179">
        <v>4</v>
      </c>
      <c r="G179" t="s">
        <v>4</v>
      </c>
      <c r="H179" s="2" t="str">
        <f>CONCATENATE("if(${p_weight_age}&gt;=",Table2[[#This Row],[Min_weight_kg]]," and ${p_weight_age}&lt;",Table2[[#This Row],[Max_weight_kg]],",""",Table2[[#This Row],[rate]],""",",IF(Table2[[#This Row],[drug]]=A180,H180,"""--"""),")")</f>
        <v>if(${p_weight_age}&gt;=4 and ${p_weight_age}&lt;6,"1/4",if(${p_weight_age}&gt;=6 and ${p_weight_age}&lt;10,"1/2",if(${p_weight_age}&gt;=10 and ${p_weight_age}&lt;15,"1",if(${p_weight_age}&gt;=15 and ${p_weight_age}&lt;100,"1","--"))))</v>
      </c>
      <c r="I179" s="2" t="str">
        <f>CONCATENATE("if(${p_age}&gt;=",Table2[[#This Row],[Min_age_months]]," and ${p_age}&lt;",Table2[[#This Row],[Max_age_months]],",""",Table2[[#This Row],[rate]],""",",IF(Table2[[#This Row],[drug]]=A180,I180,"""--"""),")")</f>
        <v>if(${p_age}&gt;=2 and ${p_age}&lt;4,"1/4",if(${p_age}&gt;=4 and ${p_age}&lt;12,"1/2",if(${p_age}&gt;=12 and ${p_age}&lt;36,"1",if(${p_age}&gt;=36 and ${p_age}&lt;61,"1","--"))))</v>
      </c>
      <c r="J179" s="2" t="str">
        <f>CONCATENATE("if(${p_weight}&gt;0,",Table2[[#This Row],[Formula weight]],",",Table2[[#This Row],[Formula Age]],")")</f>
        <v>if(${p_weight}&gt;0,if(${p_weight_age}&gt;=4 and ${p_weight_age}&lt;6,"1/4",if(${p_weight_age}&gt;=6 and ${p_weight_age}&lt;10,"1/2",if(${p_weight_age}&gt;=10 and ${p_weight_age}&lt;15,"1",if(${p_weight_age}&gt;=15 and ${p_weight_age}&lt;100,"1","--")))),if(${p_age}&gt;=2 and ${p_age}&lt;4,"1/4",if(${p_age}&gt;=4 and ${p_age}&lt;12,"1/2",if(${p_age}&gt;=12 and ${p_age}&lt;36,"1",if(${p_age}&gt;=36 and ${p_age}&lt;61,"1","--")))))</v>
      </c>
      <c r="K179" s="2" t="str">
        <f>GenerateDrugString(Table2[[#This Row],[Min_weight_kg]],Table2[[#This Row],[Max_weight_kg]],Table2[[#This Row],[rate]],Table35[kg])</f>
        <v>1/4 1/4 1/4</v>
      </c>
      <c r="L179" s="2" t="str">
        <f>CONCATENATE(Table2[[#This Row],[drugStringLine]],IF(TRIM(Table2[[#This Row],[drugStringLine]])="",""," "),IF(Table2[[#This Row],[drug]]=A180,L180,""))</f>
        <v xml:space="preserve">1/4 1/4 1/4 1/2 1/2 1/2 1/2 1/2 1 1 1 1 1 1 1 </v>
      </c>
    </row>
    <row r="180" spans="1:12">
      <c r="A180" t="s">
        <v>37</v>
      </c>
      <c r="B180" t="str">
        <f>IF(Table2[[#This Row],[drug]]&lt;&gt;A179,Table2[[#This Row],[drug]],"")</f>
        <v/>
      </c>
      <c r="C180">
        <v>6</v>
      </c>
      <c r="D180">
        <v>10</v>
      </c>
      <c r="E180">
        <v>4</v>
      </c>
      <c r="F180">
        <v>12</v>
      </c>
      <c r="G180" t="s">
        <v>5</v>
      </c>
      <c r="H180" s="2" t="str">
        <f>CONCATENATE("if(${p_weight_age}&gt;=",Table2[[#This Row],[Min_weight_kg]]," and ${p_weight_age}&lt;",Table2[[#This Row],[Max_weight_kg]],",""",Table2[[#This Row],[rate]],""",",IF(Table2[[#This Row],[drug]]=A181,H181,"""--"""),")")</f>
        <v>if(${p_weight_age}&gt;=6 and ${p_weight_age}&lt;10,"1/2",if(${p_weight_age}&gt;=10 and ${p_weight_age}&lt;15,"1",if(${p_weight_age}&gt;=15 and ${p_weight_age}&lt;100,"1","--")))</v>
      </c>
      <c r="I180" s="2" t="str">
        <f>CONCATENATE("if(${p_age}&gt;=",Table2[[#This Row],[Min_age_months]]," and ${p_age}&lt;",Table2[[#This Row],[Max_age_months]],",""",Table2[[#This Row],[rate]],""",",IF(Table2[[#This Row],[drug]]=A181,I181,"""--"""),")")</f>
        <v>if(${p_age}&gt;=4 and ${p_age}&lt;12,"1/2",if(${p_age}&gt;=12 and ${p_age}&lt;36,"1",if(${p_age}&gt;=36 and ${p_age}&lt;61,"1","--")))</v>
      </c>
      <c r="J180" s="2" t="str">
        <f>CONCATENATE("if(${p_weight}&gt;0,",Table2[[#This Row],[Formula weight]],",",Table2[[#This Row],[Formula Age]],")")</f>
        <v>if(${p_weight}&gt;0,if(${p_weight_age}&gt;=6 and ${p_weight_age}&lt;10,"1/2",if(${p_weight_age}&gt;=10 and ${p_weight_age}&lt;15,"1",if(${p_weight_age}&gt;=15 and ${p_weight_age}&lt;100,"1","--"))),if(${p_age}&gt;=4 and ${p_age}&lt;12,"1/2",if(${p_age}&gt;=12 and ${p_age}&lt;36,"1",if(${p_age}&gt;=36 and ${p_age}&lt;61,"1","--"))))</v>
      </c>
      <c r="K180" s="2" t="str">
        <f>GenerateDrugString(Table2[[#This Row],[Min_weight_kg]],Table2[[#This Row],[Max_weight_kg]],Table2[[#This Row],[rate]],Table35[kg])</f>
        <v>1/2 1/2 1/2 1/2 1/2</v>
      </c>
      <c r="L180" s="2" t="str">
        <f>CONCATENATE(Table2[[#This Row],[drugStringLine]],IF(TRIM(Table2[[#This Row],[drugStringLine]])="",""," "),IF(Table2[[#This Row],[drug]]=A181,L181,""))</f>
        <v xml:space="preserve">1/2 1/2 1/2 1/2 1/2 1 1 1 1 1 1 1 </v>
      </c>
    </row>
    <row r="181" spans="1:12">
      <c r="A181" t="s">
        <v>37</v>
      </c>
      <c r="B181" t="str">
        <f>IF(Table2[[#This Row],[drug]]&lt;&gt;A180,Table2[[#This Row],[drug]],"")</f>
        <v/>
      </c>
      <c r="C181">
        <v>10</v>
      </c>
      <c r="D181">
        <v>15</v>
      </c>
      <c r="E181">
        <v>12</v>
      </c>
      <c r="F181">
        <v>36</v>
      </c>
      <c r="G181">
        <v>1</v>
      </c>
      <c r="H181" s="2" t="str">
        <f>CONCATENATE("if(${p_weight_age}&gt;=",Table2[[#This Row],[Min_weight_kg]]," and ${p_weight_age}&lt;",Table2[[#This Row],[Max_weight_kg]],",""",Table2[[#This Row],[rate]],""",",IF(Table2[[#This Row],[drug]]=A182,H182,"""--"""),")")</f>
        <v>if(${p_weight_age}&gt;=10 and ${p_weight_age}&lt;15,"1",if(${p_weight_age}&gt;=15 and ${p_weight_age}&lt;100,"1","--"))</v>
      </c>
      <c r="I181" s="2" t="str">
        <f>CONCATENATE("if(${p_age}&gt;=",Table2[[#This Row],[Min_age_months]]," and ${p_age}&lt;",Table2[[#This Row],[Max_age_months]],",""",Table2[[#This Row],[rate]],""",",IF(Table2[[#This Row],[drug]]=A182,I182,"""--"""),")")</f>
        <v>if(${p_age}&gt;=12 and ${p_age}&lt;36,"1",if(${p_age}&gt;=36 and ${p_age}&lt;61,"1","--"))</v>
      </c>
      <c r="J181" s="2" t="str">
        <f>CONCATENATE("if(${p_weight}&gt;0,",Table2[[#This Row],[Formula weight]],",",Table2[[#This Row],[Formula Age]],")")</f>
        <v>if(${p_weight}&gt;0,if(${p_weight_age}&gt;=10 and ${p_weight_age}&lt;15,"1",if(${p_weight_age}&gt;=15 and ${p_weight_age}&lt;100,"1","--")),if(${p_age}&gt;=12 and ${p_age}&lt;36,"1",if(${p_age}&gt;=36 and ${p_age}&lt;61,"1","--")))</v>
      </c>
      <c r="K181" s="2" t="str">
        <f>GenerateDrugString(Table2[[#This Row],[Min_weight_kg]],Table2[[#This Row],[Max_weight_kg]],Table2[[#This Row],[rate]],Table35[kg])</f>
        <v>1 1 1 1</v>
      </c>
      <c r="L181" s="2" t="str">
        <f>CONCATENATE(Table2[[#This Row],[drugStringLine]],IF(TRIM(Table2[[#This Row],[drugStringLine]])="",""," "),IF(Table2[[#This Row],[drug]]=A182,L182,""))</f>
        <v xml:space="preserve">1 1 1 1 1 1 1 </v>
      </c>
    </row>
    <row r="182" spans="1:12">
      <c r="A182" t="s">
        <v>37</v>
      </c>
      <c r="B182" t="str">
        <f>IF(Table2[[#This Row],[drug]]&lt;&gt;A181,Table2[[#This Row],[drug]],"")</f>
        <v/>
      </c>
      <c r="C182">
        <v>15</v>
      </c>
      <c r="D182">
        <v>100</v>
      </c>
      <c r="E182">
        <v>36</v>
      </c>
      <c r="F182">
        <v>61</v>
      </c>
      <c r="G182">
        <v>1</v>
      </c>
      <c r="H182" s="2" t="str">
        <f>CONCATENATE("if(${p_weight_age}&gt;=",Table2[[#This Row],[Min_weight_kg]]," and ${p_weight_age}&lt;",Table2[[#This Row],[Max_weight_kg]],",""",Table2[[#This Row],[rate]],""",",IF(Table2[[#This Row],[drug]]=A183,H183,"""--"""),")")</f>
        <v>if(${p_weight_age}&gt;=15 and ${p_weight_age}&lt;100,"1","--")</v>
      </c>
      <c r="I182" s="2" t="str">
        <f>CONCATENATE("if(${p_age}&gt;=",Table2[[#This Row],[Min_age_months]]," and ${p_age}&lt;",Table2[[#This Row],[Max_age_months]],",""",Table2[[#This Row],[rate]],""",",IF(Table2[[#This Row],[drug]]=A183,I183,"""--"""),")")</f>
        <v>if(${p_age}&gt;=36 and ${p_age}&lt;61,"1","--")</v>
      </c>
      <c r="J182" s="2" t="str">
        <f>CONCATENATE("if(${p_weight}&gt;0,",Table2[[#This Row],[Formula weight]],",",Table2[[#This Row],[Formula Age]],")")</f>
        <v>if(${p_weight}&gt;0,if(${p_weight_age}&gt;=15 and ${p_weight_age}&lt;100,"1","--"),if(${p_age}&gt;=36 and ${p_age}&lt;61,"1","--"))</v>
      </c>
      <c r="K182" s="2" t="str">
        <f>GenerateDrugString(Table2[[#This Row],[Min_weight_kg]],Table2[[#This Row],[Max_weight_kg]],Table2[[#This Row],[rate]],Table35[kg])</f>
        <v>1 1 1</v>
      </c>
      <c r="L182" s="2" t="str">
        <f>CONCATENATE(Table2[[#This Row],[drugStringLine]],IF(TRIM(Table2[[#This Row],[drugStringLine]])="",""," "),IF(Table2[[#This Row],[drug]]=A183,L183,""))</f>
        <v xml:space="preserve">1 1 1 </v>
      </c>
    </row>
    <row r="183" spans="1:12">
      <c r="A183" t="s">
        <v>38</v>
      </c>
      <c r="B183" t="str">
        <f>IF(Table2[[#This Row],[drug]]&lt;&gt;A182,Table2[[#This Row],[drug]],"")</f>
        <v>ampicillin_ml</v>
      </c>
      <c r="C183">
        <v>0</v>
      </c>
      <c r="D183">
        <v>4</v>
      </c>
      <c r="E183">
        <v>0</v>
      </c>
      <c r="F183">
        <v>2</v>
      </c>
      <c r="G183">
        <v>0</v>
      </c>
      <c r="H183" s="2" t="str">
        <f>CONCATENATE("if(${p_weight_age}&gt;=",Table2[[#This Row],[Min_weight_kg]]," and ${p_weight_age}&lt;",Table2[[#This Row],[Max_weight_kg]],",""",Table2[[#This Row],[rate]],""",",IF(Table2[[#This Row],[drug]]=A184,H184,"""--"""),")")</f>
        <v>if(${p_weight_age}&gt;=0 and ${p_weight_age}&lt;4,"0",if(${p_weight_age}&gt;=4 and ${p_weight_age}&lt;6,"1",if(${p_weight_age}&gt;=6 and ${p_weight_age}&lt;8,"1.5",if(${p_weight_age}&gt;=8 and ${p_weight_age}&lt;10,"2",if(${p_weight_age}&gt;=10 and ${p_weight_age}&lt;14,"3",if(${p_weight_age}&gt;=14 and ${p_weight_age}&lt;20,"5",if(${p_weight_age}&gt;=20 and ${p_weight_age}&lt;100,"6","--")))))))</v>
      </c>
      <c r="I183" s="2" t="str">
        <f>CONCATENATE("if(${p_age}&gt;=",Table2[[#This Row],[Min_age_months]]," and ${p_age}&lt;",Table2[[#This Row],[Max_age_months]],",""",Table2[[#This Row],[rate]],""",",IF(Table2[[#This Row],[drug]]=A184,I184,"""--"""),")")</f>
        <v>if(${p_age}&gt;=0 and ${p_age}&lt;2,"0",if(${p_age}&gt;=2 and ${p_age}&lt;4,"1",if(${p_age}&gt;=4 and ${p_age}&lt;9,"1.5",if(${p_age}&gt;=9 and ${p_age}&lt;12,"2",if(${p_age}&gt;=12 and ${p_age}&lt;36,"3",if(${p_age}&gt;=36 and ${p_age}&lt;61,"5",if(${p_age}&gt;=61 and ${p_age}&lt;99,"6","--")))))))</v>
      </c>
      <c r="J183" s="2" t="str">
        <f>CONCATENATE("if(${p_weight}&gt;0,",Table2[[#This Row],[Formula weight]],",",Table2[[#This Row],[Formula Age]],")")</f>
        <v>if(${p_weight}&gt;0,if(${p_weight_age}&gt;=0 and ${p_weight_age}&lt;4,"0",if(${p_weight_age}&gt;=4 and ${p_weight_age}&lt;6,"1",if(${p_weight_age}&gt;=6 and ${p_weight_age}&lt;8,"1.5",if(${p_weight_age}&gt;=8 and ${p_weight_age}&lt;10,"2",if(${p_weight_age}&gt;=10 and ${p_weight_age}&lt;14,"3",if(${p_weight_age}&gt;=14 and ${p_weight_age}&lt;20,"5",if(${p_weight_age}&gt;=20 and ${p_weight_age}&lt;100,"6","--"))))))),if(${p_age}&gt;=0 and ${p_age}&lt;2,"0",if(${p_age}&gt;=2 and ${p_age}&lt;4,"1",if(${p_age}&gt;=4 and ${p_age}&lt;9,"1.5",if(${p_age}&gt;=9 and ${p_age}&lt;12,"2",if(${p_age}&gt;=12 and ${p_age}&lt;36,"3",if(${p_age}&gt;=36 and ${p_age}&lt;61,"5",if(${p_age}&gt;=61 and ${p_age}&lt;99,"6","--"))))))))</v>
      </c>
      <c r="K183" s="2" t="str">
        <f>GenerateDrugString(Table2[[#This Row],[Min_weight_kg]],Table2[[#This Row],[Max_weight_kg]],Table2[[#This Row],[rate]],Table35[kg])</f>
        <v>0 0 0</v>
      </c>
      <c r="L183" s="2" t="str">
        <f>CONCATENATE(Table2[[#This Row],[drugStringLine]],IF(TRIM(Table2[[#This Row],[drugStringLine]])="",""," "),IF(Table2[[#This Row],[drug]]=A184,L184,""))</f>
        <v xml:space="preserve">0 0 0 1 1 1 1.5 1.5 2 2 2 3 3 3 5 5 6 6 </v>
      </c>
    </row>
    <row r="184" spans="1:12">
      <c r="A184" t="s">
        <v>38</v>
      </c>
      <c r="B184" t="str">
        <f>IF(Table2[[#This Row],[drug]]&lt;&gt;A183,Table2[[#This Row],[drug]],"")</f>
        <v/>
      </c>
      <c r="C184">
        <v>4</v>
      </c>
      <c r="D184">
        <v>6</v>
      </c>
      <c r="E184">
        <v>2</v>
      </c>
      <c r="F184">
        <v>4</v>
      </c>
      <c r="G184">
        <v>1</v>
      </c>
      <c r="H184" s="2" t="str">
        <f>CONCATENATE("if(${p_weight_age}&gt;=",Table2[[#This Row],[Min_weight_kg]]," and ${p_weight_age}&lt;",Table2[[#This Row],[Max_weight_kg]],",""",Table2[[#This Row],[rate]],""",",IF(Table2[[#This Row],[drug]]=A185,H185,"""--"""),")")</f>
        <v>if(${p_weight_age}&gt;=4 and ${p_weight_age}&lt;6,"1",if(${p_weight_age}&gt;=6 and ${p_weight_age}&lt;8,"1.5",if(${p_weight_age}&gt;=8 and ${p_weight_age}&lt;10,"2",if(${p_weight_age}&gt;=10 and ${p_weight_age}&lt;14,"3",if(${p_weight_age}&gt;=14 and ${p_weight_age}&lt;20,"5",if(${p_weight_age}&gt;=20 and ${p_weight_age}&lt;100,"6","--"))))))</v>
      </c>
      <c r="I184" s="2" t="str">
        <f>CONCATENATE("if(${p_age}&gt;=",Table2[[#This Row],[Min_age_months]]," and ${p_age}&lt;",Table2[[#This Row],[Max_age_months]],",""",Table2[[#This Row],[rate]],""",",IF(Table2[[#This Row],[drug]]=A185,I185,"""--"""),")")</f>
        <v>if(${p_age}&gt;=2 and ${p_age}&lt;4,"1",if(${p_age}&gt;=4 and ${p_age}&lt;9,"1.5",if(${p_age}&gt;=9 and ${p_age}&lt;12,"2",if(${p_age}&gt;=12 and ${p_age}&lt;36,"3",if(${p_age}&gt;=36 and ${p_age}&lt;61,"5",if(${p_age}&gt;=61 and ${p_age}&lt;99,"6","--"))))))</v>
      </c>
      <c r="J184" s="2" t="str">
        <f>CONCATENATE("if(${p_weight}&gt;0,",Table2[[#This Row],[Formula weight]],",",Table2[[#This Row],[Formula Age]],")")</f>
        <v>if(${p_weight}&gt;0,if(${p_weight_age}&gt;=4 and ${p_weight_age}&lt;6,"1",if(${p_weight_age}&gt;=6 and ${p_weight_age}&lt;8,"1.5",if(${p_weight_age}&gt;=8 and ${p_weight_age}&lt;10,"2",if(${p_weight_age}&gt;=10 and ${p_weight_age}&lt;14,"3",if(${p_weight_age}&gt;=14 and ${p_weight_age}&lt;20,"5",if(${p_weight_age}&gt;=20 and ${p_weight_age}&lt;100,"6","--")))))),if(${p_age}&gt;=2 and ${p_age}&lt;4,"1",if(${p_age}&gt;=4 and ${p_age}&lt;9,"1.5",if(${p_age}&gt;=9 and ${p_age}&lt;12,"2",if(${p_age}&gt;=12 and ${p_age}&lt;36,"3",if(${p_age}&gt;=36 and ${p_age}&lt;61,"5",if(${p_age}&gt;=61 and ${p_age}&lt;99,"6","--")))))))</v>
      </c>
      <c r="K184" s="2" t="str">
        <f>GenerateDrugString(Table2[[#This Row],[Min_weight_kg]],Table2[[#This Row],[Max_weight_kg]],Table2[[#This Row],[rate]],Table35[kg])</f>
        <v>1 1 1</v>
      </c>
      <c r="L184" s="2" t="str">
        <f>CONCATENATE(Table2[[#This Row],[drugStringLine]],IF(TRIM(Table2[[#This Row],[drugStringLine]])="",""," "),IF(Table2[[#This Row],[drug]]=A185,L185,""))</f>
        <v xml:space="preserve">1 1 1 1.5 1.5 2 2 2 3 3 3 5 5 6 6 </v>
      </c>
    </row>
    <row r="185" spans="1:12">
      <c r="A185" t="s">
        <v>38</v>
      </c>
      <c r="B185" t="str">
        <f>IF(Table2[[#This Row],[drug]]&lt;&gt;A184,Table2[[#This Row],[drug]],"")</f>
        <v/>
      </c>
      <c r="C185">
        <v>6</v>
      </c>
      <c r="D185">
        <v>8</v>
      </c>
      <c r="E185">
        <v>4</v>
      </c>
      <c r="F185">
        <v>9</v>
      </c>
      <c r="G185">
        <v>1.5</v>
      </c>
      <c r="H185" s="2" t="str">
        <f>CONCATENATE("if(${p_weight_age}&gt;=",Table2[[#This Row],[Min_weight_kg]]," and ${p_weight_age}&lt;",Table2[[#This Row],[Max_weight_kg]],",""",Table2[[#This Row],[rate]],""",",IF(Table2[[#This Row],[drug]]=A186,H186,"""--"""),")")</f>
        <v>if(${p_weight_age}&gt;=6 and ${p_weight_age}&lt;8,"1.5",if(${p_weight_age}&gt;=8 and ${p_weight_age}&lt;10,"2",if(${p_weight_age}&gt;=10 and ${p_weight_age}&lt;14,"3",if(${p_weight_age}&gt;=14 and ${p_weight_age}&lt;20,"5",if(${p_weight_age}&gt;=20 and ${p_weight_age}&lt;100,"6","--")))))</v>
      </c>
      <c r="I185" s="2" t="str">
        <f>CONCATENATE("if(${p_age}&gt;=",Table2[[#This Row],[Min_age_months]]," and ${p_age}&lt;",Table2[[#This Row],[Max_age_months]],",""",Table2[[#This Row],[rate]],""",",IF(Table2[[#This Row],[drug]]=A186,I186,"""--"""),")")</f>
        <v>if(${p_age}&gt;=4 and ${p_age}&lt;9,"1.5",if(${p_age}&gt;=9 and ${p_age}&lt;12,"2",if(${p_age}&gt;=12 and ${p_age}&lt;36,"3",if(${p_age}&gt;=36 and ${p_age}&lt;61,"5",if(${p_age}&gt;=61 and ${p_age}&lt;99,"6","--")))))</v>
      </c>
      <c r="J185" s="2" t="str">
        <f>CONCATENATE("if(${p_weight}&gt;0,",Table2[[#This Row],[Formula weight]],",",Table2[[#This Row],[Formula Age]],")")</f>
        <v>if(${p_weight}&gt;0,if(${p_weight_age}&gt;=6 and ${p_weight_age}&lt;8,"1.5",if(${p_weight_age}&gt;=8 and ${p_weight_age}&lt;10,"2",if(${p_weight_age}&gt;=10 and ${p_weight_age}&lt;14,"3",if(${p_weight_age}&gt;=14 and ${p_weight_age}&lt;20,"5",if(${p_weight_age}&gt;=20 and ${p_weight_age}&lt;100,"6","--"))))),if(${p_age}&gt;=4 and ${p_age}&lt;9,"1.5",if(${p_age}&gt;=9 and ${p_age}&lt;12,"2",if(${p_age}&gt;=12 and ${p_age}&lt;36,"3",if(${p_age}&gt;=36 and ${p_age}&lt;61,"5",if(${p_age}&gt;=61 and ${p_age}&lt;99,"6","--"))))))</v>
      </c>
      <c r="K185" s="2" t="str">
        <f>GenerateDrugString(Table2[[#This Row],[Min_weight_kg]],Table2[[#This Row],[Max_weight_kg]],Table2[[#This Row],[rate]],Table35[kg])</f>
        <v>1.5 1.5</v>
      </c>
      <c r="L185" s="2" t="str">
        <f>CONCATENATE(Table2[[#This Row],[drugStringLine]],IF(TRIM(Table2[[#This Row],[drugStringLine]])="",""," "),IF(Table2[[#This Row],[drug]]=A186,L186,""))</f>
        <v xml:space="preserve">1.5 1.5 2 2 2 3 3 3 5 5 6 6 </v>
      </c>
    </row>
    <row r="186" spans="1:12">
      <c r="A186" t="s">
        <v>38</v>
      </c>
      <c r="B186" t="str">
        <f>IF(Table2[[#This Row],[drug]]&lt;&gt;A185,Table2[[#This Row],[drug]],"")</f>
        <v/>
      </c>
      <c r="C186">
        <v>8</v>
      </c>
      <c r="D186">
        <v>10</v>
      </c>
      <c r="E186">
        <v>9</v>
      </c>
      <c r="F186">
        <v>12</v>
      </c>
      <c r="G186">
        <v>2</v>
      </c>
      <c r="H186" s="2" t="str">
        <f>CONCATENATE("if(${p_weight_age}&gt;=",Table2[[#This Row],[Min_weight_kg]]," and ${p_weight_age}&lt;",Table2[[#This Row],[Max_weight_kg]],",""",Table2[[#This Row],[rate]],""",",IF(Table2[[#This Row],[drug]]=A187,H187,"""--"""),")")</f>
        <v>if(${p_weight_age}&gt;=8 and ${p_weight_age}&lt;10,"2",if(${p_weight_age}&gt;=10 and ${p_weight_age}&lt;14,"3",if(${p_weight_age}&gt;=14 and ${p_weight_age}&lt;20,"5",if(${p_weight_age}&gt;=20 and ${p_weight_age}&lt;100,"6","--"))))</v>
      </c>
      <c r="I186" s="2" t="str">
        <f>CONCATENATE("if(${p_age}&gt;=",Table2[[#This Row],[Min_age_months]]," and ${p_age}&lt;",Table2[[#This Row],[Max_age_months]],",""",Table2[[#This Row],[rate]],""",",IF(Table2[[#This Row],[drug]]=A187,I187,"""--"""),")")</f>
        <v>if(${p_age}&gt;=9 and ${p_age}&lt;12,"2",if(${p_age}&gt;=12 and ${p_age}&lt;36,"3",if(${p_age}&gt;=36 and ${p_age}&lt;61,"5",if(${p_age}&gt;=61 and ${p_age}&lt;99,"6","--"))))</v>
      </c>
      <c r="J186" s="2" t="str">
        <f>CONCATENATE("if(${p_weight}&gt;0,",Table2[[#This Row],[Formula weight]],",",Table2[[#This Row],[Formula Age]],")")</f>
        <v>if(${p_weight}&gt;0,if(${p_weight_age}&gt;=8 and ${p_weight_age}&lt;10,"2",if(${p_weight_age}&gt;=10 and ${p_weight_age}&lt;14,"3",if(${p_weight_age}&gt;=14 and ${p_weight_age}&lt;20,"5",if(${p_weight_age}&gt;=20 and ${p_weight_age}&lt;100,"6","--")))),if(${p_age}&gt;=9 and ${p_age}&lt;12,"2",if(${p_age}&gt;=12 and ${p_age}&lt;36,"3",if(${p_age}&gt;=36 and ${p_age}&lt;61,"5",if(${p_age}&gt;=61 and ${p_age}&lt;99,"6","--")))))</v>
      </c>
      <c r="K186" s="2" t="str">
        <f>GenerateDrugString(Table2[[#This Row],[Min_weight_kg]],Table2[[#This Row],[Max_weight_kg]],Table2[[#This Row],[rate]],Table35[kg])</f>
        <v>2 2 2</v>
      </c>
      <c r="L186" s="2" t="str">
        <f>CONCATENATE(Table2[[#This Row],[drugStringLine]],IF(TRIM(Table2[[#This Row],[drugStringLine]])="",""," "),IF(Table2[[#This Row],[drug]]=A187,L187,""))</f>
        <v xml:space="preserve">2 2 2 3 3 3 5 5 6 6 </v>
      </c>
    </row>
    <row r="187" spans="1:12">
      <c r="A187" t="s">
        <v>38</v>
      </c>
      <c r="B187" t="str">
        <f>IF(Table2[[#This Row],[drug]]&lt;&gt;A186,Table2[[#This Row],[drug]],"")</f>
        <v/>
      </c>
      <c r="C187">
        <v>10</v>
      </c>
      <c r="D187">
        <v>14</v>
      </c>
      <c r="E187">
        <v>12</v>
      </c>
      <c r="F187">
        <v>36</v>
      </c>
      <c r="G187">
        <v>3</v>
      </c>
      <c r="H187" s="2" t="str">
        <f>CONCATENATE("if(${p_weight_age}&gt;=",Table2[[#This Row],[Min_weight_kg]]," and ${p_weight_age}&lt;",Table2[[#This Row],[Max_weight_kg]],",""",Table2[[#This Row],[rate]],""",",IF(Table2[[#This Row],[drug]]=A188,H188,"""--"""),")")</f>
        <v>if(${p_weight_age}&gt;=10 and ${p_weight_age}&lt;14,"3",if(${p_weight_age}&gt;=14 and ${p_weight_age}&lt;20,"5",if(${p_weight_age}&gt;=20 and ${p_weight_age}&lt;100,"6","--")))</v>
      </c>
      <c r="I187" s="2" t="str">
        <f>CONCATENATE("if(${p_age}&gt;=",Table2[[#This Row],[Min_age_months]]," and ${p_age}&lt;",Table2[[#This Row],[Max_age_months]],",""",Table2[[#This Row],[rate]],""",",IF(Table2[[#This Row],[drug]]=A188,I188,"""--"""),")")</f>
        <v>if(${p_age}&gt;=12 and ${p_age}&lt;36,"3",if(${p_age}&gt;=36 and ${p_age}&lt;61,"5",if(${p_age}&gt;=61 and ${p_age}&lt;99,"6","--")))</v>
      </c>
      <c r="J187" s="2" t="str">
        <f>CONCATENATE("if(${p_weight}&gt;0,",Table2[[#This Row],[Formula weight]],",",Table2[[#This Row],[Formula Age]],")")</f>
        <v>if(${p_weight}&gt;0,if(${p_weight_age}&gt;=10 and ${p_weight_age}&lt;14,"3",if(${p_weight_age}&gt;=14 and ${p_weight_age}&lt;20,"5",if(${p_weight_age}&gt;=20 and ${p_weight_age}&lt;100,"6","--"))),if(${p_age}&gt;=12 and ${p_age}&lt;36,"3",if(${p_age}&gt;=36 and ${p_age}&lt;61,"5",if(${p_age}&gt;=61 and ${p_age}&lt;99,"6","--"))))</v>
      </c>
      <c r="K187" s="2" t="str">
        <f>GenerateDrugString(Table2[[#This Row],[Min_weight_kg]],Table2[[#This Row],[Max_weight_kg]],Table2[[#This Row],[rate]],Table35[kg])</f>
        <v>3 3 3</v>
      </c>
      <c r="L187" s="2" t="str">
        <f>CONCATENATE(Table2[[#This Row],[drugStringLine]],IF(TRIM(Table2[[#This Row],[drugStringLine]])="",""," "),IF(Table2[[#This Row],[drug]]=A188,L188,""))</f>
        <v xml:space="preserve">3 3 3 5 5 6 6 </v>
      </c>
    </row>
    <row r="188" spans="1:12">
      <c r="A188" t="s">
        <v>38</v>
      </c>
      <c r="B188" t="str">
        <f>IF(Table2[[#This Row],[drug]]&lt;&gt;A187,Table2[[#This Row],[drug]],"")</f>
        <v/>
      </c>
      <c r="C188">
        <v>14</v>
      </c>
      <c r="D188">
        <v>20</v>
      </c>
      <c r="E188">
        <v>36</v>
      </c>
      <c r="F188">
        <v>61</v>
      </c>
      <c r="G188">
        <v>5</v>
      </c>
      <c r="H188" s="2" t="str">
        <f>CONCATENATE("if(${p_weight_age}&gt;=",Table2[[#This Row],[Min_weight_kg]]," and ${p_weight_age}&lt;",Table2[[#This Row],[Max_weight_kg]],",""",Table2[[#This Row],[rate]],""",",IF(Table2[[#This Row],[drug]]=A189,H189,"""--"""),")")</f>
        <v>if(${p_weight_age}&gt;=14 and ${p_weight_age}&lt;20,"5",if(${p_weight_age}&gt;=20 and ${p_weight_age}&lt;100,"6","--"))</v>
      </c>
      <c r="I188" s="2" t="str">
        <f>CONCATENATE("if(${p_age}&gt;=",Table2[[#This Row],[Min_age_months]]," and ${p_age}&lt;",Table2[[#This Row],[Max_age_months]],",""",Table2[[#This Row],[rate]],""",",IF(Table2[[#This Row],[drug]]=A189,I189,"""--"""),")")</f>
        <v>if(${p_age}&gt;=36 and ${p_age}&lt;61,"5",if(${p_age}&gt;=61 and ${p_age}&lt;99,"6","--"))</v>
      </c>
      <c r="J188" s="2" t="str">
        <f>CONCATENATE("if(${p_weight}&gt;0,",Table2[[#This Row],[Formula weight]],",",Table2[[#This Row],[Formula Age]],")")</f>
        <v>if(${p_weight}&gt;0,if(${p_weight_age}&gt;=14 and ${p_weight_age}&lt;20,"5",if(${p_weight_age}&gt;=20 and ${p_weight_age}&lt;100,"6","--")),if(${p_age}&gt;=36 and ${p_age}&lt;61,"5",if(${p_age}&gt;=61 and ${p_age}&lt;99,"6","--")))</v>
      </c>
      <c r="K188" s="2" t="str">
        <f>GenerateDrugString(Table2[[#This Row],[Min_weight_kg]],Table2[[#This Row],[Max_weight_kg]],Table2[[#This Row],[rate]],Table35[kg])</f>
        <v>5 5</v>
      </c>
      <c r="L188" s="2" t="str">
        <f>CONCATENATE(Table2[[#This Row],[drugStringLine]],IF(TRIM(Table2[[#This Row],[drugStringLine]])="",""," "),IF(Table2[[#This Row],[drug]]=A189,L189,""))</f>
        <v xml:space="preserve">5 5 6 6 </v>
      </c>
    </row>
    <row r="189" spans="1:12">
      <c r="A189" t="s">
        <v>38</v>
      </c>
      <c r="B189" t="str">
        <f>IF(Table2[[#This Row],[drug]]&lt;&gt;A188,Table2[[#This Row],[drug]],"")</f>
        <v/>
      </c>
      <c r="C189">
        <v>20</v>
      </c>
      <c r="D189">
        <v>100</v>
      </c>
      <c r="E189">
        <v>61</v>
      </c>
      <c r="F189">
        <v>99</v>
      </c>
      <c r="G189">
        <v>6</v>
      </c>
      <c r="H189" s="2" t="str">
        <f>CONCATENATE("if(${p_weight_age}&gt;=",Table2[[#This Row],[Min_weight_kg]]," and ${p_weight_age}&lt;",Table2[[#This Row],[Max_weight_kg]],",""",Table2[[#This Row],[rate]],""",",IF(Table2[[#This Row],[drug]]=A190,H190,"""--"""),")")</f>
        <v>if(${p_weight_age}&gt;=20 and ${p_weight_age}&lt;100,"6","--")</v>
      </c>
      <c r="I189" s="2" t="str">
        <f>CONCATENATE("if(${p_age}&gt;=",Table2[[#This Row],[Min_age_months]]," and ${p_age}&lt;",Table2[[#This Row],[Max_age_months]],",""",Table2[[#This Row],[rate]],""",",IF(Table2[[#This Row],[drug]]=A190,I190,"""--"""),")")</f>
        <v>if(${p_age}&gt;=61 and ${p_age}&lt;99,"6","--")</v>
      </c>
      <c r="J189" s="2" t="str">
        <f>CONCATENATE("if(${p_weight}&gt;0,",Table2[[#This Row],[Formula weight]],",",Table2[[#This Row],[Formula Age]],")")</f>
        <v>if(${p_weight}&gt;0,if(${p_weight_age}&gt;=20 and ${p_weight_age}&lt;100,"6","--"),if(${p_age}&gt;=61 and ${p_age}&lt;99,"6","--"))</v>
      </c>
      <c r="K189" s="2" t="str">
        <f>GenerateDrugString(Table2[[#This Row],[Min_weight_kg]],Table2[[#This Row],[Max_weight_kg]],Table2[[#This Row],[rate]],Table35[kg])</f>
        <v>6 6</v>
      </c>
      <c r="L189" s="2" t="str">
        <f>CONCATENATE(Table2[[#This Row],[drugStringLine]],IF(TRIM(Table2[[#This Row],[drugStringLine]])="",""," "),IF(Table2[[#This Row],[drug]]=A190,L190,""))</f>
        <v xml:space="preserve">6 6 </v>
      </c>
    </row>
    <row r="190" spans="1:12">
      <c r="A190" t="s">
        <v>65</v>
      </c>
      <c r="B190" t="str">
        <f>IF(Table2[[#This Row],[drug]]&lt;&gt;A189,Table2[[#This Row],[drug]],"")</f>
        <v>amoxicillin_40_ml</v>
      </c>
      <c r="C190">
        <v>0</v>
      </c>
      <c r="D190">
        <v>3</v>
      </c>
      <c r="E190">
        <v>2</v>
      </c>
      <c r="F190">
        <v>4</v>
      </c>
      <c r="G190" t="s">
        <v>60</v>
      </c>
      <c r="H190" s="2" t="str">
        <f>CONCATENATE("if(${p_weight_age}&gt;=",Table2[[#This Row],[Min_weight_kg]]," and ${p_weight_age}&lt;",Table2[[#This Row],[Max_weight_kg]],",""",Table2[[#This Row],[rate]],""",",IF(Table2[[#This Row],[drug]]=A191,H191,"""--"""),")")</f>
        <v>if(${p_weight_age}&gt;=0 and ${p_weight_age}&lt;3,"--",if(${p_weight_age}&gt;=3 and ${p_weight_age}&lt;6,"7.5",if(${p_weight_age}&gt;=6 and ${p_weight_age}&lt;10,"15",if(${p_weight_age}&gt;=10 and ${p_weight_age}&lt;15,"20",if(${p_weight_age}&gt;=15 and ${p_weight_age}&lt;20,"30",if(${p_weight_age}&gt;=20 and ${p_weight_age}&lt;100,"--","--"))))))</v>
      </c>
      <c r="I190" s="2" t="str">
        <f>CONCATENATE("if(${p_age}&gt;=",Table2[[#This Row],[Min_age_months]]," and ${p_age}&lt;",Table2[[#This Row],[Max_age_months]],",""",Table2[[#This Row],[rate]],""",",IF(Table2[[#This Row],[drug]]=A191,I191,"""--"""),")")</f>
        <v>if(${p_age}&gt;=2 and ${p_age}&lt;4,"--",if(${p_age}&gt;=4 and ${p_age}&lt;12,"7.5",if(${p_age}&gt;=4 and ${p_age}&lt;12,"15",if(${p_age}&gt;=12 and ${p_age}&lt;36,"20",if(${p_age}&gt;=36 and ${p_age}&lt;60,"30",if(${p_age}&gt;=60 and ${p_age}&lt;100,"--","--"))))))</v>
      </c>
      <c r="J190" s="2" t="str">
        <f>CONCATENATE("if(${p_weight}&gt;0,",Table2[[#This Row],[Formula weight]],",",Table2[[#This Row],[Formula Age]],")")</f>
        <v>if(${p_weight}&gt;0,if(${p_weight_age}&gt;=0 and ${p_weight_age}&lt;3,"--",if(${p_weight_age}&gt;=3 and ${p_weight_age}&lt;6,"7.5",if(${p_weight_age}&gt;=6 and ${p_weight_age}&lt;10,"15",if(${p_weight_age}&gt;=10 and ${p_weight_age}&lt;15,"20",if(${p_weight_age}&gt;=15 and ${p_weight_age}&lt;20,"30",if(${p_weight_age}&gt;=20 and ${p_weight_age}&lt;100,"--","--")))))),if(${p_age}&gt;=2 and ${p_age}&lt;4,"--",if(${p_age}&gt;=4 and ${p_age}&lt;12,"7.5",if(${p_age}&gt;=4 and ${p_age}&lt;12,"15",if(${p_age}&gt;=12 and ${p_age}&lt;36,"20",if(${p_age}&gt;=36 and ${p_age}&lt;60,"30",if(${p_age}&gt;=60 and ${p_age}&lt;100,"--","--")))))))</v>
      </c>
      <c r="K190" s="2" t="str">
        <f>GenerateDrugString(Table2[[#This Row],[Min_weight_kg]],Table2[[#This Row],[Max_weight_kg]],Table2[[#This Row],[rate]],Table35[kg])</f>
        <v>--</v>
      </c>
      <c r="L190" s="2" t="str">
        <f>CONCATENATE(Table2[[#This Row],[drugStringLine]],IF(TRIM(Table2[[#This Row],[drugStringLine]])="",""," "),IF(Table2[[#This Row],[drug]]=A191,L191,""))</f>
        <v xml:space="preserve">-- 7.5 7.5 7.5 7.5 7.5 15 15 15 15 15 20 20 20 20 30 -- -- </v>
      </c>
    </row>
    <row r="191" spans="1:12">
      <c r="A191" t="s">
        <v>65</v>
      </c>
      <c r="B191" t="str">
        <f>IF(Table2[[#This Row],[drug]]&lt;&gt;A190,Table2[[#This Row],[drug]],"")</f>
        <v/>
      </c>
      <c r="C191">
        <v>3</v>
      </c>
      <c r="D191">
        <v>6</v>
      </c>
      <c r="E191">
        <v>4</v>
      </c>
      <c r="F191">
        <v>12</v>
      </c>
      <c r="G191">
        <v>7.5</v>
      </c>
      <c r="H191" s="2" t="str">
        <f>CONCATENATE("if(${p_weight_age}&gt;=",Table2[[#This Row],[Min_weight_kg]]," and ${p_weight_age}&lt;",Table2[[#This Row],[Max_weight_kg]],",""",Table2[[#This Row],[rate]],""",",IF(Table2[[#This Row],[drug]]=A192,H192,"""--"""),")")</f>
        <v>if(${p_weight_age}&gt;=3 and ${p_weight_age}&lt;6,"7.5",if(${p_weight_age}&gt;=6 and ${p_weight_age}&lt;10,"15",if(${p_weight_age}&gt;=10 and ${p_weight_age}&lt;15,"20",if(${p_weight_age}&gt;=15 and ${p_weight_age}&lt;20,"30",if(${p_weight_age}&gt;=20 and ${p_weight_age}&lt;100,"--","--")))))</v>
      </c>
      <c r="I191" s="2" t="str">
        <f>CONCATENATE("if(${p_age}&gt;=",Table2[[#This Row],[Min_age_months]]," and ${p_age}&lt;",Table2[[#This Row],[Max_age_months]],",""",Table2[[#This Row],[rate]],""",",IF(Table2[[#This Row],[drug]]=A192,I192,"""--"""),")")</f>
        <v>if(${p_age}&gt;=4 and ${p_age}&lt;12,"7.5",if(${p_age}&gt;=4 and ${p_age}&lt;12,"15",if(${p_age}&gt;=12 and ${p_age}&lt;36,"20",if(${p_age}&gt;=36 and ${p_age}&lt;60,"30",if(${p_age}&gt;=60 and ${p_age}&lt;100,"--","--")))))</v>
      </c>
      <c r="J191" s="2" t="str">
        <f>CONCATENATE("if(${p_weight}&gt;0,",Table2[[#This Row],[Formula weight]],",",Table2[[#This Row],[Formula Age]],")")</f>
        <v>if(${p_weight}&gt;0,if(${p_weight_age}&gt;=3 and ${p_weight_age}&lt;6,"7.5",if(${p_weight_age}&gt;=6 and ${p_weight_age}&lt;10,"15",if(${p_weight_age}&gt;=10 and ${p_weight_age}&lt;15,"20",if(${p_weight_age}&gt;=15 and ${p_weight_age}&lt;20,"30",if(${p_weight_age}&gt;=20 and ${p_weight_age}&lt;100,"--","--"))))),if(${p_age}&gt;=4 and ${p_age}&lt;12,"7.5",if(${p_age}&gt;=4 and ${p_age}&lt;12,"15",if(${p_age}&gt;=12 and ${p_age}&lt;36,"20",if(${p_age}&gt;=36 and ${p_age}&lt;60,"30",if(${p_age}&gt;=60 and ${p_age}&lt;100,"--","--"))))))</v>
      </c>
      <c r="K191" s="2" t="str">
        <f>GenerateDrugString(Table2[[#This Row],[Min_weight_kg]],Table2[[#This Row],[Max_weight_kg]],Table2[[#This Row],[rate]],Table35[kg])</f>
        <v>7.5 7.5 7.5 7.5 7.5</v>
      </c>
      <c r="L191" s="2" t="str">
        <f>CONCATENATE(Table2[[#This Row],[drugStringLine]],IF(TRIM(Table2[[#This Row],[drugStringLine]])="",""," "),IF(Table2[[#This Row],[drug]]=A192,L192,""))</f>
        <v xml:space="preserve">7.5 7.5 7.5 7.5 7.5 15 15 15 15 15 20 20 20 20 30 -- -- </v>
      </c>
    </row>
    <row r="192" spans="1:12">
      <c r="A192" t="s">
        <v>65</v>
      </c>
      <c r="B192" t="str">
        <f>IF(Table2[[#This Row],[drug]]&lt;&gt;A191,Table2[[#This Row],[drug]],"")</f>
        <v/>
      </c>
      <c r="C192">
        <v>6</v>
      </c>
      <c r="D192">
        <v>10</v>
      </c>
      <c r="E192">
        <v>4</v>
      </c>
      <c r="F192">
        <v>12</v>
      </c>
      <c r="G192">
        <v>15</v>
      </c>
      <c r="H192" s="2" t="str">
        <f>CONCATENATE("if(${p_weight_age}&gt;=",Table2[[#This Row],[Min_weight_kg]]," and ${p_weight_age}&lt;",Table2[[#This Row],[Max_weight_kg]],",""",Table2[[#This Row],[rate]],""",",IF(Table2[[#This Row],[drug]]=A193,H193,"""--"""),")")</f>
        <v>if(${p_weight_age}&gt;=6 and ${p_weight_age}&lt;10,"15",if(${p_weight_age}&gt;=10 and ${p_weight_age}&lt;15,"20",if(${p_weight_age}&gt;=15 and ${p_weight_age}&lt;20,"30",if(${p_weight_age}&gt;=20 and ${p_weight_age}&lt;100,"--","--"))))</v>
      </c>
      <c r="I192" s="2" t="str">
        <f>CONCATENATE("if(${p_age}&gt;=",Table2[[#This Row],[Min_age_months]]," and ${p_age}&lt;",Table2[[#This Row],[Max_age_months]],",""",Table2[[#This Row],[rate]],""",",IF(Table2[[#This Row],[drug]]=A193,I193,"""--"""),")")</f>
        <v>if(${p_age}&gt;=4 and ${p_age}&lt;12,"15",if(${p_age}&gt;=12 and ${p_age}&lt;36,"20",if(${p_age}&gt;=36 and ${p_age}&lt;60,"30",if(${p_age}&gt;=60 and ${p_age}&lt;100,"--","--"))))</v>
      </c>
      <c r="J192" s="2" t="str">
        <f>CONCATENATE("if(${p_weight}&gt;0,",Table2[[#This Row],[Formula weight]],",",Table2[[#This Row],[Formula Age]],")")</f>
        <v>if(${p_weight}&gt;0,if(${p_weight_age}&gt;=6 and ${p_weight_age}&lt;10,"15",if(${p_weight_age}&gt;=10 and ${p_weight_age}&lt;15,"20",if(${p_weight_age}&gt;=15 and ${p_weight_age}&lt;20,"30",if(${p_weight_age}&gt;=20 and ${p_weight_age}&lt;100,"--","--")))),if(${p_age}&gt;=4 and ${p_age}&lt;12,"15",if(${p_age}&gt;=12 and ${p_age}&lt;36,"20",if(${p_age}&gt;=36 and ${p_age}&lt;60,"30",if(${p_age}&gt;=60 and ${p_age}&lt;100,"--","--")))))</v>
      </c>
      <c r="K192" s="2" t="str">
        <f>GenerateDrugString(Table2[[#This Row],[Min_weight_kg]],Table2[[#This Row],[Max_weight_kg]],Table2[[#This Row],[rate]],Table35[kg])</f>
        <v>15 15 15 15 15</v>
      </c>
      <c r="L192" s="2" t="str">
        <f>CONCATENATE(Table2[[#This Row],[drugStringLine]],IF(TRIM(Table2[[#This Row],[drugStringLine]])="",""," "),IF(Table2[[#This Row],[drug]]=A193,L193,""))</f>
        <v xml:space="preserve">15 15 15 15 15 20 20 20 20 30 -- -- </v>
      </c>
    </row>
    <row r="193" spans="1:12">
      <c r="A193" t="s">
        <v>65</v>
      </c>
      <c r="B193" t="str">
        <f>IF(Table2[[#This Row],[drug]]&lt;&gt;A192,Table2[[#This Row],[drug]],"")</f>
        <v/>
      </c>
      <c r="C193">
        <v>10</v>
      </c>
      <c r="D193">
        <v>15</v>
      </c>
      <c r="E193">
        <v>12</v>
      </c>
      <c r="F193">
        <v>36</v>
      </c>
      <c r="G193">
        <v>20</v>
      </c>
      <c r="H193" s="2" t="str">
        <f>CONCATENATE("if(${p_weight_age}&gt;=",Table2[[#This Row],[Min_weight_kg]]," and ${p_weight_age}&lt;",Table2[[#This Row],[Max_weight_kg]],",""",Table2[[#This Row],[rate]],""",",IF(Table2[[#This Row],[drug]]=A194,H194,"""--"""),")")</f>
        <v>if(${p_weight_age}&gt;=10 and ${p_weight_age}&lt;15,"20",if(${p_weight_age}&gt;=15 and ${p_weight_age}&lt;20,"30",if(${p_weight_age}&gt;=20 and ${p_weight_age}&lt;100,"--","--")))</v>
      </c>
      <c r="I193" s="2" t="str">
        <f>CONCATENATE("if(${p_age}&gt;=",Table2[[#This Row],[Min_age_months]]," and ${p_age}&lt;",Table2[[#This Row],[Max_age_months]],",""",Table2[[#This Row],[rate]],""",",IF(Table2[[#This Row],[drug]]=A194,I194,"""--"""),")")</f>
        <v>if(${p_age}&gt;=12 and ${p_age}&lt;36,"20",if(${p_age}&gt;=36 and ${p_age}&lt;60,"30",if(${p_age}&gt;=60 and ${p_age}&lt;100,"--","--")))</v>
      </c>
      <c r="J193" s="2" t="str">
        <f>CONCATENATE("if(${p_weight}&gt;0,",Table2[[#This Row],[Formula weight]],",",Table2[[#This Row],[Formula Age]],")")</f>
        <v>if(${p_weight}&gt;0,if(${p_weight_age}&gt;=10 and ${p_weight_age}&lt;15,"20",if(${p_weight_age}&gt;=15 and ${p_weight_age}&lt;20,"30",if(${p_weight_age}&gt;=20 and ${p_weight_age}&lt;100,"--","--"))),if(${p_age}&gt;=12 and ${p_age}&lt;36,"20",if(${p_age}&gt;=36 and ${p_age}&lt;60,"30",if(${p_age}&gt;=60 and ${p_age}&lt;100,"--","--"))))</v>
      </c>
      <c r="K193" s="2" t="str">
        <f>GenerateDrugString(Table2[[#This Row],[Min_weight_kg]],Table2[[#This Row],[Max_weight_kg]],Table2[[#This Row],[rate]],Table35[kg])</f>
        <v>20 20 20 20</v>
      </c>
      <c r="L193" s="2" t="str">
        <f>CONCATENATE(Table2[[#This Row],[drugStringLine]],IF(TRIM(Table2[[#This Row],[drugStringLine]])="",""," "),IF(Table2[[#This Row],[drug]]=A194,L194,""))</f>
        <v xml:space="preserve">20 20 20 20 30 -- -- </v>
      </c>
    </row>
    <row r="194" spans="1:12">
      <c r="A194" t="s">
        <v>65</v>
      </c>
      <c r="B194" t="str">
        <f>IF(Table2[[#This Row],[drug]]&lt;&gt;A193,Table2[[#This Row],[drug]],"")</f>
        <v/>
      </c>
      <c r="C194">
        <v>15</v>
      </c>
      <c r="D194">
        <v>20</v>
      </c>
      <c r="E194">
        <v>36</v>
      </c>
      <c r="F194">
        <v>60</v>
      </c>
      <c r="G194">
        <v>30</v>
      </c>
      <c r="H194" s="2" t="str">
        <f>CONCATENATE("if(${p_weight_age}&gt;=",Table2[[#This Row],[Min_weight_kg]]," and ${p_weight_age}&lt;",Table2[[#This Row],[Max_weight_kg]],",""",Table2[[#This Row],[rate]],""",",IF(Table2[[#This Row],[drug]]=A195,H195,"""--"""),")")</f>
        <v>if(${p_weight_age}&gt;=15 and ${p_weight_age}&lt;20,"30",if(${p_weight_age}&gt;=20 and ${p_weight_age}&lt;100,"--","--"))</v>
      </c>
      <c r="I194" s="2" t="str">
        <f>CONCATENATE("if(${p_age}&gt;=",Table2[[#This Row],[Min_age_months]]," and ${p_age}&lt;",Table2[[#This Row],[Max_age_months]],",""",Table2[[#This Row],[rate]],""",",IF(Table2[[#This Row],[drug]]=A195,I195,"""--"""),")")</f>
        <v>if(${p_age}&gt;=36 and ${p_age}&lt;60,"30",if(${p_age}&gt;=60 and ${p_age}&lt;100,"--","--"))</v>
      </c>
      <c r="J194" s="2" t="str">
        <f>CONCATENATE("if(${p_weight}&gt;0,",Table2[[#This Row],[Formula weight]],",",Table2[[#This Row],[Formula Age]],")")</f>
        <v>if(${p_weight}&gt;0,if(${p_weight_age}&gt;=15 and ${p_weight_age}&lt;20,"30",if(${p_weight_age}&gt;=20 and ${p_weight_age}&lt;100,"--","--")),if(${p_age}&gt;=36 and ${p_age}&lt;60,"30",if(${p_age}&gt;=60 and ${p_age}&lt;100,"--","--")))</v>
      </c>
      <c r="K194" s="2" t="str">
        <f>GenerateDrugString(Table2[[#This Row],[Min_weight_kg]],Table2[[#This Row],[Max_weight_kg]],Table2[[#This Row],[rate]],Table35[kg])</f>
        <v>30</v>
      </c>
      <c r="L194" s="2" t="str">
        <f>CONCATENATE(Table2[[#This Row],[drugStringLine]],IF(TRIM(Table2[[#This Row],[drugStringLine]])="",""," "),IF(Table2[[#This Row],[drug]]=A195,L195,""))</f>
        <v xml:space="preserve">30 -- -- </v>
      </c>
    </row>
    <row r="195" spans="1:12">
      <c r="A195" t="s">
        <v>65</v>
      </c>
      <c r="B195" t="str">
        <f>IF(Table2[[#This Row],[drug]]&lt;&gt;A194,Table2[[#This Row],[drug]],"")</f>
        <v/>
      </c>
      <c r="C195">
        <v>20</v>
      </c>
      <c r="D195">
        <v>100</v>
      </c>
      <c r="E195">
        <v>60</v>
      </c>
      <c r="F195">
        <v>100</v>
      </c>
      <c r="G195" t="s">
        <v>60</v>
      </c>
      <c r="H195" s="2" t="str">
        <f>CONCATENATE("if(${p_weight_age}&gt;=",Table2[[#This Row],[Min_weight_kg]]," and ${p_weight_age}&lt;",Table2[[#This Row],[Max_weight_kg]],",""",Table2[[#This Row],[rate]],""",",IF(Table2[[#This Row],[drug]]=A196,H196,"""--"""),")")</f>
        <v>if(${p_weight_age}&gt;=20 and ${p_weight_age}&lt;100,"--","--")</v>
      </c>
      <c r="I195" s="2" t="str">
        <f>CONCATENATE("if(${p_age}&gt;=",Table2[[#This Row],[Min_age_months]]," and ${p_age}&lt;",Table2[[#This Row],[Max_age_months]],",""",Table2[[#This Row],[rate]],""",",IF(Table2[[#This Row],[drug]]=A196,I196,"""--"""),")")</f>
        <v>if(${p_age}&gt;=60 and ${p_age}&lt;100,"--","--")</v>
      </c>
      <c r="J195" s="2" t="str">
        <f>CONCATENATE("if(${p_weight}&gt;0,",Table2[[#This Row],[Formula weight]],",",Table2[[#This Row],[Formula Age]],")")</f>
        <v>if(${p_weight}&gt;0,if(${p_weight_age}&gt;=20 and ${p_weight_age}&lt;100,"--","--"),if(${p_age}&gt;=60 and ${p_age}&lt;100,"--","--"))</v>
      </c>
      <c r="K195" s="2" t="str">
        <f>GenerateDrugString(Table2[[#This Row],[Min_weight_kg]],Table2[[#This Row],[Max_weight_kg]],Table2[[#This Row],[rate]],Table35[kg])</f>
        <v>-- --</v>
      </c>
      <c r="L195" s="2" t="str">
        <f>CONCATENATE(Table2[[#This Row],[drugStringLine]],IF(TRIM(Table2[[#This Row],[drugStringLine]])="",""," "),IF(Table2[[#This Row],[drug]]=A196,L196,""))</f>
        <v xml:space="preserve">-- -- </v>
      </c>
    </row>
    <row r="196" spans="1:12">
      <c r="A196" t="s">
        <v>63</v>
      </c>
      <c r="B196" t="str">
        <f>IF(Table2[[#This Row],[drug]]&lt;&gt;A195,Table2[[#This Row],[drug]],"")</f>
        <v>amoxicillin_40_tab</v>
      </c>
      <c r="C196">
        <v>0</v>
      </c>
      <c r="D196">
        <v>3</v>
      </c>
      <c r="E196">
        <v>2</v>
      </c>
      <c r="F196">
        <v>4</v>
      </c>
      <c r="G196" s="3" t="s">
        <v>60</v>
      </c>
      <c r="H196" s="2" t="str">
        <f>CONCATENATE("if(${p_weight_age}&gt;=",Table2[[#This Row],[Min_weight_kg]]," and ${p_weight_age}&lt;",Table2[[#This Row],[Max_weight_kg]],",""",Table2[[#This Row],[rate]],""",",IF(Table2[[#This Row],[drug]]=A197,H197,"""--"""),")")</f>
        <v>if(${p_weight_age}&gt;=0 and ${p_weight_age}&lt;3,"--",if(${p_weight_age}&gt;=3 and ${p_weight_age}&lt;6,"1",if(${p_weight_age}&gt;=6 and ${p_weight_age}&lt;10,"1.5",if(${p_weight_age}&gt;=10 and ${p_weight_age}&lt;15,"2",if(${p_weight_age}&gt;=15 and ${p_weight_age}&lt;20,"3",if(${p_weight_age}&gt;=20 and ${p_weight_age}&lt;100,"4","--"))))))</v>
      </c>
      <c r="I196" s="2" t="str">
        <f>CONCATENATE("if(${p_age}&gt;=",Table2[[#This Row],[Min_age_months]]," and ${p_age}&lt;",Table2[[#This Row],[Max_age_months]],",""",Table2[[#This Row],[rate]],""",",IF(Table2[[#This Row],[drug]]=A197,I197,"""--"""),")")</f>
        <v>if(${p_age}&gt;=2 and ${p_age}&lt;4,"--",if(${p_age}&gt;=4 and ${p_age}&lt;12,"1",if(${p_age}&gt;=4 and ${p_age}&lt;12,"1.5",if(${p_age}&gt;=12 and ${p_age}&lt;36,"2",if(${p_age}&gt;=36 and ${p_age}&lt;60,"3",if(${p_age}&gt;=60 and ${p_age}&lt;100,"4","--"))))))</v>
      </c>
      <c r="J196" s="2" t="str">
        <f>CONCATENATE("if(${p_weight}&gt;0,",Table2[[#This Row],[Formula weight]],",",Table2[[#This Row],[Formula Age]],")")</f>
        <v>if(${p_weight}&gt;0,if(${p_weight_age}&gt;=0 and ${p_weight_age}&lt;3,"--",if(${p_weight_age}&gt;=3 and ${p_weight_age}&lt;6,"1",if(${p_weight_age}&gt;=6 and ${p_weight_age}&lt;10,"1.5",if(${p_weight_age}&gt;=10 and ${p_weight_age}&lt;15,"2",if(${p_weight_age}&gt;=15 and ${p_weight_age}&lt;20,"3",if(${p_weight_age}&gt;=20 and ${p_weight_age}&lt;100,"4","--")))))),if(${p_age}&gt;=2 and ${p_age}&lt;4,"--",if(${p_age}&gt;=4 and ${p_age}&lt;12,"1",if(${p_age}&gt;=4 and ${p_age}&lt;12,"1.5",if(${p_age}&gt;=12 and ${p_age}&lt;36,"2",if(${p_age}&gt;=36 and ${p_age}&lt;60,"3",if(${p_age}&gt;=60 and ${p_age}&lt;100,"4","--")))))))</v>
      </c>
      <c r="K196" s="2" t="str">
        <f>GenerateDrugString(Table2[[#This Row],[Min_weight_kg]],Table2[[#This Row],[Max_weight_kg]],Table2[[#This Row],[rate]],Table35[kg])</f>
        <v>--</v>
      </c>
      <c r="L196" s="2" t="str">
        <f>CONCATENATE(Table2[[#This Row],[drugStringLine]],IF(TRIM(Table2[[#This Row],[drugStringLine]])="",""," "),IF(Table2[[#This Row],[drug]]=A197,L197,""))</f>
        <v xml:space="preserve">-- 1 1 1 1 1 1.5 1.5 1.5 1.5 1.5 2 2 2 2 3 4 4 </v>
      </c>
    </row>
    <row r="197" spans="1:12">
      <c r="A197" t="s">
        <v>63</v>
      </c>
      <c r="B197" t="str">
        <f>IF(Table2[[#This Row],[drug]]&lt;&gt;A196,Table2[[#This Row],[drug]],"")</f>
        <v/>
      </c>
      <c r="C197">
        <v>3</v>
      </c>
      <c r="D197">
        <v>6</v>
      </c>
      <c r="E197">
        <v>4</v>
      </c>
      <c r="F197">
        <v>12</v>
      </c>
      <c r="G197">
        <v>1</v>
      </c>
      <c r="H197" s="2" t="str">
        <f>CONCATENATE("if(${p_weight_age}&gt;=",Table2[[#This Row],[Min_weight_kg]]," and ${p_weight_age}&lt;",Table2[[#This Row],[Max_weight_kg]],",""",Table2[[#This Row],[rate]],""",",IF(Table2[[#This Row],[drug]]=A198,H198,"""--"""),")")</f>
        <v>if(${p_weight_age}&gt;=3 and ${p_weight_age}&lt;6,"1",if(${p_weight_age}&gt;=6 and ${p_weight_age}&lt;10,"1.5",if(${p_weight_age}&gt;=10 and ${p_weight_age}&lt;15,"2",if(${p_weight_age}&gt;=15 and ${p_weight_age}&lt;20,"3",if(${p_weight_age}&gt;=20 and ${p_weight_age}&lt;100,"4","--")))))</v>
      </c>
      <c r="I197" s="2" t="str">
        <f>CONCATENATE("if(${p_age}&gt;=",Table2[[#This Row],[Min_age_months]]," and ${p_age}&lt;",Table2[[#This Row],[Max_age_months]],",""",Table2[[#This Row],[rate]],""",",IF(Table2[[#This Row],[drug]]=A198,I198,"""--"""),")")</f>
        <v>if(${p_age}&gt;=4 and ${p_age}&lt;12,"1",if(${p_age}&gt;=4 and ${p_age}&lt;12,"1.5",if(${p_age}&gt;=12 and ${p_age}&lt;36,"2",if(${p_age}&gt;=36 and ${p_age}&lt;60,"3",if(${p_age}&gt;=60 and ${p_age}&lt;100,"4","--")))))</v>
      </c>
      <c r="J197" s="2" t="str">
        <f>CONCATENATE("if(${p_weight}&gt;0,",Table2[[#This Row],[Formula weight]],",",Table2[[#This Row],[Formula Age]],")")</f>
        <v>if(${p_weight}&gt;0,if(${p_weight_age}&gt;=3 and ${p_weight_age}&lt;6,"1",if(${p_weight_age}&gt;=6 and ${p_weight_age}&lt;10,"1.5",if(${p_weight_age}&gt;=10 and ${p_weight_age}&lt;15,"2",if(${p_weight_age}&gt;=15 and ${p_weight_age}&lt;20,"3",if(${p_weight_age}&gt;=20 and ${p_weight_age}&lt;100,"4","--"))))),if(${p_age}&gt;=4 and ${p_age}&lt;12,"1",if(${p_age}&gt;=4 and ${p_age}&lt;12,"1.5",if(${p_age}&gt;=12 and ${p_age}&lt;36,"2",if(${p_age}&gt;=36 and ${p_age}&lt;60,"3",if(${p_age}&gt;=60 and ${p_age}&lt;100,"4","--"))))))</v>
      </c>
      <c r="K197" s="2" t="str">
        <f>GenerateDrugString(Table2[[#This Row],[Min_weight_kg]],Table2[[#This Row],[Max_weight_kg]],Table2[[#This Row],[rate]],Table35[kg])</f>
        <v>1 1 1 1 1</v>
      </c>
      <c r="L197" s="2" t="str">
        <f>CONCATENATE(Table2[[#This Row],[drugStringLine]],IF(TRIM(Table2[[#This Row],[drugStringLine]])="",""," "),IF(Table2[[#This Row],[drug]]=A198,L198,""))</f>
        <v xml:space="preserve">1 1 1 1 1 1.5 1.5 1.5 1.5 1.5 2 2 2 2 3 4 4 </v>
      </c>
    </row>
    <row r="198" spans="1:12">
      <c r="A198" t="s">
        <v>63</v>
      </c>
      <c r="B198" t="str">
        <f>IF(Table2[[#This Row],[drug]]&lt;&gt;A197,Table2[[#This Row],[drug]],"")</f>
        <v/>
      </c>
      <c r="C198">
        <v>6</v>
      </c>
      <c r="D198">
        <v>10</v>
      </c>
      <c r="E198">
        <v>4</v>
      </c>
      <c r="F198">
        <v>12</v>
      </c>
      <c r="G198">
        <v>1.5</v>
      </c>
      <c r="H198" s="2" t="str">
        <f>CONCATENATE("if(${p_weight_age}&gt;=",Table2[[#This Row],[Min_weight_kg]]," and ${p_weight_age}&lt;",Table2[[#This Row],[Max_weight_kg]],",""",Table2[[#This Row],[rate]],""",",IF(Table2[[#This Row],[drug]]=A199,H199,"""--"""),")")</f>
        <v>if(${p_weight_age}&gt;=6 and ${p_weight_age}&lt;10,"1.5",if(${p_weight_age}&gt;=10 and ${p_weight_age}&lt;15,"2",if(${p_weight_age}&gt;=15 and ${p_weight_age}&lt;20,"3",if(${p_weight_age}&gt;=20 and ${p_weight_age}&lt;100,"4","--"))))</v>
      </c>
      <c r="I198" s="2" t="str">
        <f>CONCATENATE("if(${p_age}&gt;=",Table2[[#This Row],[Min_age_months]]," and ${p_age}&lt;",Table2[[#This Row],[Max_age_months]],",""",Table2[[#This Row],[rate]],""",",IF(Table2[[#This Row],[drug]]=A199,I199,"""--"""),")")</f>
        <v>if(${p_age}&gt;=4 and ${p_age}&lt;12,"1.5",if(${p_age}&gt;=12 and ${p_age}&lt;36,"2",if(${p_age}&gt;=36 and ${p_age}&lt;60,"3",if(${p_age}&gt;=60 and ${p_age}&lt;100,"4","--"))))</v>
      </c>
      <c r="J198" s="2" t="str">
        <f>CONCATENATE("if(${p_weight}&gt;0,",Table2[[#This Row],[Formula weight]],",",Table2[[#This Row],[Formula Age]],")")</f>
        <v>if(${p_weight}&gt;0,if(${p_weight_age}&gt;=6 and ${p_weight_age}&lt;10,"1.5",if(${p_weight_age}&gt;=10 and ${p_weight_age}&lt;15,"2",if(${p_weight_age}&gt;=15 and ${p_weight_age}&lt;20,"3",if(${p_weight_age}&gt;=20 and ${p_weight_age}&lt;100,"4","--")))),if(${p_age}&gt;=4 and ${p_age}&lt;12,"1.5",if(${p_age}&gt;=12 and ${p_age}&lt;36,"2",if(${p_age}&gt;=36 and ${p_age}&lt;60,"3",if(${p_age}&gt;=60 and ${p_age}&lt;100,"4","--")))))</v>
      </c>
      <c r="K198" s="2" t="str">
        <f>GenerateDrugString(Table2[[#This Row],[Min_weight_kg]],Table2[[#This Row],[Max_weight_kg]],Table2[[#This Row],[rate]],Table35[kg])</f>
        <v>1.5 1.5 1.5 1.5 1.5</v>
      </c>
      <c r="L198" s="2" t="str">
        <f>CONCATENATE(Table2[[#This Row],[drugStringLine]],IF(TRIM(Table2[[#This Row],[drugStringLine]])="",""," "),IF(Table2[[#This Row],[drug]]=A199,L199,""))</f>
        <v xml:space="preserve">1.5 1.5 1.5 1.5 1.5 2 2 2 2 3 4 4 </v>
      </c>
    </row>
    <row r="199" spans="1:12">
      <c r="A199" t="s">
        <v>63</v>
      </c>
      <c r="B199" t="str">
        <f>IF(Table2[[#This Row],[drug]]&lt;&gt;A198,Table2[[#This Row],[drug]],"")</f>
        <v/>
      </c>
      <c r="C199">
        <v>10</v>
      </c>
      <c r="D199">
        <v>15</v>
      </c>
      <c r="E199">
        <v>12</v>
      </c>
      <c r="F199">
        <v>36</v>
      </c>
      <c r="G199">
        <v>2</v>
      </c>
      <c r="H199" s="2" t="str">
        <f>CONCATENATE("if(${p_weight_age}&gt;=",Table2[[#This Row],[Min_weight_kg]]," and ${p_weight_age}&lt;",Table2[[#This Row],[Max_weight_kg]],",""",Table2[[#This Row],[rate]],""",",IF(Table2[[#This Row],[drug]]=A200,H200,"""--"""),")")</f>
        <v>if(${p_weight_age}&gt;=10 and ${p_weight_age}&lt;15,"2",if(${p_weight_age}&gt;=15 and ${p_weight_age}&lt;20,"3",if(${p_weight_age}&gt;=20 and ${p_weight_age}&lt;100,"4","--")))</v>
      </c>
      <c r="I199" s="2" t="str">
        <f>CONCATENATE("if(${p_age}&gt;=",Table2[[#This Row],[Min_age_months]]," and ${p_age}&lt;",Table2[[#This Row],[Max_age_months]],",""",Table2[[#This Row],[rate]],""",",IF(Table2[[#This Row],[drug]]=A200,I200,"""--"""),")")</f>
        <v>if(${p_age}&gt;=12 and ${p_age}&lt;36,"2",if(${p_age}&gt;=36 and ${p_age}&lt;60,"3",if(${p_age}&gt;=60 and ${p_age}&lt;100,"4","--")))</v>
      </c>
      <c r="J199" s="2" t="str">
        <f>CONCATENATE("if(${p_weight}&gt;0,",Table2[[#This Row],[Formula weight]],",",Table2[[#This Row],[Formula Age]],")")</f>
        <v>if(${p_weight}&gt;0,if(${p_weight_age}&gt;=10 and ${p_weight_age}&lt;15,"2",if(${p_weight_age}&gt;=15 and ${p_weight_age}&lt;20,"3",if(${p_weight_age}&gt;=20 and ${p_weight_age}&lt;100,"4","--"))),if(${p_age}&gt;=12 and ${p_age}&lt;36,"2",if(${p_age}&gt;=36 and ${p_age}&lt;60,"3",if(${p_age}&gt;=60 and ${p_age}&lt;100,"4","--"))))</v>
      </c>
      <c r="K199" s="2" t="str">
        <f>GenerateDrugString(Table2[[#This Row],[Min_weight_kg]],Table2[[#This Row],[Max_weight_kg]],Table2[[#This Row],[rate]],Table35[kg])</f>
        <v>2 2 2 2</v>
      </c>
      <c r="L199" s="2" t="str">
        <f>CONCATENATE(Table2[[#This Row],[drugStringLine]],IF(TRIM(Table2[[#This Row],[drugStringLine]])="",""," "),IF(Table2[[#This Row],[drug]]=A200,L200,""))</f>
        <v xml:space="preserve">2 2 2 2 3 4 4 </v>
      </c>
    </row>
    <row r="200" spans="1:12">
      <c r="A200" t="s">
        <v>63</v>
      </c>
      <c r="B200" t="str">
        <f>IF(Table2[[#This Row],[drug]]&lt;&gt;A199,Table2[[#This Row],[drug]],"")</f>
        <v/>
      </c>
      <c r="C200">
        <v>15</v>
      </c>
      <c r="D200">
        <v>20</v>
      </c>
      <c r="E200">
        <v>36</v>
      </c>
      <c r="F200">
        <v>60</v>
      </c>
      <c r="G200">
        <v>3</v>
      </c>
      <c r="H200" s="2" t="str">
        <f>CONCATENATE("if(${p_weight_age}&gt;=",Table2[[#This Row],[Min_weight_kg]]," and ${p_weight_age}&lt;",Table2[[#This Row],[Max_weight_kg]],",""",Table2[[#This Row],[rate]],""",",IF(Table2[[#This Row],[drug]]=A201,H201,"""--"""),")")</f>
        <v>if(${p_weight_age}&gt;=15 and ${p_weight_age}&lt;20,"3",if(${p_weight_age}&gt;=20 and ${p_weight_age}&lt;100,"4","--"))</v>
      </c>
      <c r="I200" s="2" t="str">
        <f>CONCATENATE("if(${p_age}&gt;=",Table2[[#This Row],[Min_age_months]]," and ${p_age}&lt;",Table2[[#This Row],[Max_age_months]],",""",Table2[[#This Row],[rate]],""",",IF(Table2[[#This Row],[drug]]=A201,I201,"""--"""),")")</f>
        <v>if(${p_age}&gt;=36 and ${p_age}&lt;60,"3",if(${p_age}&gt;=60 and ${p_age}&lt;100,"4","--"))</v>
      </c>
      <c r="J200" s="2" t="str">
        <f>CONCATENATE("if(${p_weight}&gt;0,",Table2[[#This Row],[Formula weight]],",",Table2[[#This Row],[Formula Age]],")")</f>
        <v>if(${p_weight}&gt;0,if(${p_weight_age}&gt;=15 and ${p_weight_age}&lt;20,"3",if(${p_weight_age}&gt;=20 and ${p_weight_age}&lt;100,"4","--")),if(${p_age}&gt;=36 and ${p_age}&lt;60,"3",if(${p_age}&gt;=60 and ${p_age}&lt;100,"4","--")))</v>
      </c>
      <c r="K200" s="2" t="str">
        <f>GenerateDrugString(Table2[[#This Row],[Min_weight_kg]],Table2[[#This Row],[Max_weight_kg]],Table2[[#This Row],[rate]],Table35[kg])</f>
        <v>3</v>
      </c>
      <c r="L200" s="2" t="str">
        <f>CONCATENATE(Table2[[#This Row],[drugStringLine]],IF(TRIM(Table2[[#This Row],[drugStringLine]])="",""," "),IF(Table2[[#This Row],[drug]]=A201,L201,""))</f>
        <v xml:space="preserve">3 4 4 </v>
      </c>
    </row>
    <row r="201" spans="1:12">
      <c r="A201" t="s">
        <v>63</v>
      </c>
      <c r="B201" t="str">
        <f>IF(Table2[[#This Row],[drug]]&lt;&gt;A200,Table2[[#This Row],[drug]],"")</f>
        <v/>
      </c>
      <c r="C201">
        <v>20</v>
      </c>
      <c r="D201">
        <v>100</v>
      </c>
      <c r="E201">
        <v>60</v>
      </c>
      <c r="F201">
        <v>100</v>
      </c>
      <c r="G201">
        <v>4</v>
      </c>
      <c r="H201" s="2" t="str">
        <f>CONCATENATE("if(${p_weight_age}&gt;=",Table2[[#This Row],[Min_weight_kg]]," and ${p_weight_age}&lt;",Table2[[#This Row],[Max_weight_kg]],",""",Table2[[#This Row],[rate]],""",",IF(Table2[[#This Row],[drug]]=A202,H202,"""--"""),")")</f>
        <v>if(${p_weight_age}&gt;=20 and ${p_weight_age}&lt;100,"4","--")</v>
      </c>
      <c r="I201" s="2" t="str">
        <f>CONCATENATE("if(${p_age}&gt;=",Table2[[#This Row],[Min_age_months]]," and ${p_age}&lt;",Table2[[#This Row],[Max_age_months]],",""",Table2[[#This Row],[rate]],""",",IF(Table2[[#This Row],[drug]]=A202,I202,"""--"""),")")</f>
        <v>if(${p_age}&gt;=60 and ${p_age}&lt;100,"4","--")</v>
      </c>
      <c r="J201" s="2" t="str">
        <f>CONCATENATE("if(${p_weight}&gt;0,",Table2[[#This Row],[Formula weight]],",",Table2[[#This Row],[Formula Age]],")")</f>
        <v>if(${p_weight}&gt;0,if(${p_weight_age}&gt;=20 and ${p_weight_age}&lt;100,"4","--"),if(${p_age}&gt;=60 and ${p_age}&lt;100,"4","--"))</v>
      </c>
      <c r="K201" s="2" t="str">
        <f>GenerateDrugString(Table2[[#This Row],[Min_weight_kg]],Table2[[#This Row],[Max_weight_kg]],Table2[[#This Row],[rate]],Table35[kg])</f>
        <v>4 4</v>
      </c>
      <c r="L201" s="2" t="str">
        <f>CONCATENATE(Table2[[#This Row],[drugStringLine]],IF(TRIM(Table2[[#This Row],[drugStringLine]])="",""," "),IF(Table2[[#This Row],[drug]]=A202,L202,""))</f>
        <v xml:space="preserve">4 4 </v>
      </c>
    </row>
    <row r="202" spans="1:12">
      <c r="A202" t="s">
        <v>66</v>
      </c>
      <c r="B202" t="str">
        <f>IF(Table2[[#This Row],[drug]]&lt;&gt;A201,Table2[[#This Row],[drug]],"")</f>
        <v>amoxicillin_25_ml</v>
      </c>
      <c r="C202">
        <v>0</v>
      </c>
      <c r="D202">
        <v>3</v>
      </c>
      <c r="E202">
        <v>2</v>
      </c>
      <c r="F202">
        <v>4</v>
      </c>
      <c r="G202" t="s">
        <v>60</v>
      </c>
      <c r="H202" s="2" t="str">
        <f>CONCATENATE("if(${p_weight_age}&gt;=",Table2[[#This Row],[Min_weight_kg]]," and ${p_weight_age}&lt;",Table2[[#This Row],[Max_weight_kg]],",""",Table2[[#This Row],[rate]],""",",IF(Table2[[#This Row],[drug]]=A203,H203,"""--"""),")")</f>
        <v>if(${p_weight_age}&gt;=0 and ${p_weight_age}&lt;3,"--",if(${p_weight_age}&gt;=3 and ${p_weight_age}&lt;6,"1/2",if(${p_weight_age}&gt;=6 and ${p_weight_age}&lt;10,"1",if(${p_weight_age}&gt;=10 and ${p_weight_age}&lt;15,"1.5",if(${p_weight_age}&gt;=15 and ${p_weight_age}&lt;20,"2",if(${p_weight_age}&gt;=20 and ${p_weight_age}&lt;100,"2.5","--"))))))</v>
      </c>
      <c r="I202" s="2" t="str">
        <f>CONCATENATE("if(${p_age}&gt;=",Table2[[#This Row],[Min_age_months]]," and ${p_age}&lt;",Table2[[#This Row],[Max_age_months]],",""",Table2[[#This Row],[rate]],""",",IF(Table2[[#This Row],[drug]]=A203,I203,"""--"""),")")</f>
        <v>if(${p_age}&gt;=2 and ${p_age}&lt;4,"--",if(${p_age}&gt;=4 and ${p_age}&lt;12,"1/2",if(${p_age}&gt;=4 and ${p_age}&lt;12,"1",if(${p_age}&gt;=12 and ${p_age}&lt;36,"1.5",if(${p_age}&gt;=36 and ${p_age}&lt;60,"2",if(${p_age}&gt;=60 and ${p_age}&lt;100,"2.5","--"))))))</v>
      </c>
      <c r="J202" s="2" t="str">
        <f>CONCATENATE("if(${p_weight}&gt;0,",Table2[[#This Row],[Formula weight]],",",Table2[[#This Row],[Formula Age]],")")</f>
        <v>if(${p_weight}&gt;0,if(${p_weight_age}&gt;=0 and ${p_weight_age}&lt;3,"--",if(${p_weight_age}&gt;=3 and ${p_weight_age}&lt;6,"1/2",if(${p_weight_age}&gt;=6 and ${p_weight_age}&lt;10,"1",if(${p_weight_age}&gt;=10 and ${p_weight_age}&lt;15,"1.5",if(${p_weight_age}&gt;=15 and ${p_weight_age}&lt;20,"2",if(${p_weight_age}&gt;=20 and ${p_weight_age}&lt;100,"2.5","--")))))),if(${p_age}&gt;=2 and ${p_age}&lt;4,"--",if(${p_age}&gt;=4 and ${p_age}&lt;12,"1/2",if(${p_age}&gt;=4 and ${p_age}&lt;12,"1",if(${p_age}&gt;=12 and ${p_age}&lt;36,"1.5",if(${p_age}&gt;=36 and ${p_age}&lt;60,"2",if(${p_age}&gt;=60 and ${p_age}&lt;100,"2.5","--")))))))</v>
      </c>
      <c r="K202" s="2" t="str">
        <f>GenerateDrugString(Table2[[#This Row],[Min_weight_kg]],Table2[[#This Row],[Max_weight_kg]],Table2[[#This Row],[rate]],Table35[kg])</f>
        <v>--</v>
      </c>
      <c r="L202" s="2" t="str">
        <f>CONCATENATE(Table2[[#This Row],[drugStringLine]],IF(TRIM(Table2[[#This Row],[drugStringLine]])="",""," "),IF(Table2[[#This Row],[drug]]=A203,L203,""))</f>
        <v xml:space="preserve">-- 1/2 1/2 1/2 1/2 1/2 1 1 1 1 1 1.5 1.5 1.5 1.5 2 2.5 2.5 </v>
      </c>
    </row>
    <row r="203" spans="1:12">
      <c r="A203" t="s">
        <v>66</v>
      </c>
      <c r="B203" t="str">
        <f>IF(Table2[[#This Row],[drug]]&lt;&gt;A202,Table2[[#This Row],[drug]],"")</f>
        <v/>
      </c>
      <c r="C203">
        <v>3</v>
      </c>
      <c r="D203">
        <v>6</v>
      </c>
      <c r="E203">
        <v>4</v>
      </c>
      <c r="F203">
        <v>12</v>
      </c>
      <c r="G203" t="s">
        <v>5</v>
      </c>
      <c r="H203" s="2" t="str">
        <f>CONCATENATE("if(${p_weight_age}&gt;=",Table2[[#This Row],[Min_weight_kg]]," and ${p_weight_age}&lt;",Table2[[#This Row],[Max_weight_kg]],",""",Table2[[#This Row],[rate]],""",",IF(Table2[[#This Row],[drug]]=A204,H204,"""--"""),")")</f>
        <v>if(${p_weight_age}&gt;=3 and ${p_weight_age}&lt;6,"1/2",if(${p_weight_age}&gt;=6 and ${p_weight_age}&lt;10,"1",if(${p_weight_age}&gt;=10 and ${p_weight_age}&lt;15,"1.5",if(${p_weight_age}&gt;=15 and ${p_weight_age}&lt;20,"2",if(${p_weight_age}&gt;=20 and ${p_weight_age}&lt;100,"2.5","--")))))</v>
      </c>
      <c r="I203" s="2" t="str">
        <f>CONCATENATE("if(${p_age}&gt;=",Table2[[#This Row],[Min_age_months]]," and ${p_age}&lt;",Table2[[#This Row],[Max_age_months]],",""",Table2[[#This Row],[rate]],""",",IF(Table2[[#This Row],[drug]]=A204,I204,"""--"""),")")</f>
        <v>if(${p_age}&gt;=4 and ${p_age}&lt;12,"1/2",if(${p_age}&gt;=4 and ${p_age}&lt;12,"1",if(${p_age}&gt;=12 and ${p_age}&lt;36,"1.5",if(${p_age}&gt;=36 and ${p_age}&lt;60,"2",if(${p_age}&gt;=60 and ${p_age}&lt;100,"2.5","--")))))</v>
      </c>
      <c r="J203" s="2" t="str">
        <f>CONCATENATE("if(${p_weight}&gt;0,",Table2[[#This Row],[Formula weight]],",",Table2[[#This Row],[Formula Age]],")")</f>
        <v>if(${p_weight}&gt;0,if(${p_weight_age}&gt;=3 and ${p_weight_age}&lt;6,"1/2",if(${p_weight_age}&gt;=6 and ${p_weight_age}&lt;10,"1",if(${p_weight_age}&gt;=10 and ${p_weight_age}&lt;15,"1.5",if(${p_weight_age}&gt;=15 and ${p_weight_age}&lt;20,"2",if(${p_weight_age}&gt;=20 and ${p_weight_age}&lt;100,"2.5","--"))))),if(${p_age}&gt;=4 and ${p_age}&lt;12,"1/2",if(${p_age}&gt;=4 and ${p_age}&lt;12,"1",if(${p_age}&gt;=12 and ${p_age}&lt;36,"1.5",if(${p_age}&gt;=36 and ${p_age}&lt;60,"2",if(${p_age}&gt;=60 and ${p_age}&lt;100,"2.5","--"))))))</v>
      </c>
      <c r="K203" s="2" t="str">
        <f>GenerateDrugString(Table2[[#This Row],[Min_weight_kg]],Table2[[#This Row],[Max_weight_kg]],Table2[[#This Row],[rate]],Table35[kg])</f>
        <v>1/2 1/2 1/2 1/2 1/2</v>
      </c>
      <c r="L203" s="2" t="str">
        <f>CONCATENATE(Table2[[#This Row],[drugStringLine]],IF(TRIM(Table2[[#This Row],[drugStringLine]])="",""," "),IF(Table2[[#This Row],[drug]]=A204,L204,""))</f>
        <v xml:space="preserve">1/2 1/2 1/2 1/2 1/2 1 1 1 1 1 1.5 1.5 1.5 1.5 2 2.5 2.5 </v>
      </c>
    </row>
    <row r="204" spans="1:12">
      <c r="A204" t="s">
        <v>66</v>
      </c>
      <c r="B204" t="str">
        <f>IF(Table2[[#This Row],[drug]]&lt;&gt;A203,Table2[[#This Row],[drug]],"")</f>
        <v/>
      </c>
      <c r="C204">
        <v>6</v>
      </c>
      <c r="D204">
        <v>10</v>
      </c>
      <c r="E204">
        <v>4</v>
      </c>
      <c r="F204">
        <v>12</v>
      </c>
      <c r="G204">
        <v>1</v>
      </c>
      <c r="H204" s="2" t="str">
        <f>CONCATENATE("if(${p_weight_age}&gt;=",Table2[[#This Row],[Min_weight_kg]]," and ${p_weight_age}&lt;",Table2[[#This Row],[Max_weight_kg]],",""",Table2[[#This Row],[rate]],""",",IF(Table2[[#This Row],[drug]]=A205,H205,"""--"""),")")</f>
        <v>if(${p_weight_age}&gt;=6 and ${p_weight_age}&lt;10,"1",if(${p_weight_age}&gt;=10 and ${p_weight_age}&lt;15,"1.5",if(${p_weight_age}&gt;=15 and ${p_weight_age}&lt;20,"2",if(${p_weight_age}&gt;=20 and ${p_weight_age}&lt;100,"2.5","--"))))</v>
      </c>
      <c r="I204" s="2" t="str">
        <f>CONCATENATE("if(${p_age}&gt;=",Table2[[#This Row],[Min_age_months]]," and ${p_age}&lt;",Table2[[#This Row],[Max_age_months]],",""",Table2[[#This Row],[rate]],""",",IF(Table2[[#This Row],[drug]]=A205,I205,"""--"""),")")</f>
        <v>if(${p_age}&gt;=4 and ${p_age}&lt;12,"1",if(${p_age}&gt;=12 and ${p_age}&lt;36,"1.5",if(${p_age}&gt;=36 and ${p_age}&lt;60,"2",if(${p_age}&gt;=60 and ${p_age}&lt;100,"2.5","--"))))</v>
      </c>
      <c r="J204" s="2" t="str">
        <f>CONCATENATE("if(${p_weight}&gt;0,",Table2[[#This Row],[Formula weight]],",",Table2[[#This Row],[Formula Age]],")")</f>
        <v>if(${p_weight}&gt;0,if(${p_weight_age}&gt;=6 and ${p_weight_age}&lt;10,"1",if(${p_weight_age}&gt;=10 and ${p_weight_age}&lt;15,"1.5",if(${p_weight_age}&gt;=15 and ${p_weight_age}&lt;20,"2",if(${p_weight_age}&gt;=20 and ${p_weight_age}&lt;100,"2.5","--")))),if(${p_age}&gt;=4 and ${p_age}&lt;12,"1",if(${p_age}&gt;=12 and ${p_age}&lt;36,"1.5",if(${p_age}&gt;=36 and ${p_age}&lt;60,"2",if(${p_age}&gt;=60 and ${p_age}&lt;100,"2.5","--")))))</v>
      </c>
      <c r="K204" s="2" t="str">
        <f>GenerateDrugString(Table2[[#This Row],[Min_weight_kg]],Table2[[#This Row],[Max_weight_kg]],Table2[[#This Row],[rate]],Table35[kg])</f>
        <v>1 1 1 1 1</v>
      </c>
      <c r="L204" s="2" t="str">
        <f>CONCATENATE(Table2[[#This Row],[drugStringLine]],IF(TRIM(Table2[[#This Row],[drugStringLine]])="",""," "),IF(Table2[[#This Row],[drug]]=A205,L205,""))</f>
        <v xml:space="preserve">1 1 1 1 1 1.5 1.5 1.5 1.5 2 2.5 2.5 </v>
      </c>
    </row>
    <row r="205" spans="1:12">
      <c r="A205" t="s">
        <v>66</v>
      </c>
      <c r="B205" t="str">
        <f>IF(Table2[[#This Row],[drug]]&lt;&gt;A204,Table2[[#This Row],[drug]],"")</f>
        <v/>
      </c>
      <c r="C205">
        <v>10</v>
      </c>
      <c r="D205">
        <v>15</v>
      </c>
      <c r="E205">
        <v>12</v>
      </c>
      <c r="F205">
        <v>36</v>
      </c>
      <c r="G205">
        <v>1.5</v>
      </c>
      <c r="H205" s="2" t="str">
        <f>CONCATENATE("if(${p_weight_age}&gt;=",Table2[[#This Row],[Min_weight_kg]]," and ${p_weight_age}&lt;",Table2[[#This Row],[Max_weight_kg]],",""",Table2[[#This Row],[rate]],""",",IF(Table2[[#This Row],[drug]]=A206,H206,"""--"""),")")</f>
        <v>if(${p_weight_age}&gt;=10 and ${p_weight_age}&lt;15,"1.5",if(${p_weight_age}&gt;=15 and ${p_weight_age}&lt;20,"2",if(${p_weight_age}&gt;=20 and ${p_weight_age}&lt;100,"2.5","--")))</v>
      </c>
      <c r="I205" s="2" t="str">
        <f>CONCATENATE("if(${p_age}&gt;=",Table2[[#This Row],[Min_age_months]]," and ${p_age}&lt;",Table2[[#This Row],[Max_age_months]],",""",Table2[[#This Row],[rate]],""",",IF(Table2[[#This Row],[drug]]=A206,I206,"""--"""),")")</f>
        <v>if(${p_age}&gt;=12 and ${p_age}&lt;36,"1.5",if(${p_age}&gt;=36 and ${p_age}&lt;60,"2",if(${p_age}&gt;=60 and ${p_age}&lt;100,"2.5","--")))</v>
      </c>
      <c r="J205" s="2" t="str">
        <f>CONCATENATE("if(${p_weight}&gt;0,",Table2[[#This Row],[Formula weight]],",",Table2[[#This Row],[Formula Age]],")")</f>
        <v>if(${p_weight}&gt;0,if(${p_weight_age}&gt;=10 and ${p_weight_age}&lt;15,"1.5",if(${p_weight_age}&gt;=15 and ${p_weight_age}&lt;20,"2",if(${p_weight_age}&gt;=20 and ${p_weight_age}&lt;100,"2.5","--"))),if(${p_age}&gt;=12 and ${p_age}&lt;36,"1.5",if(${p_age}&gt;=36 and ${p_age}&lt;60,"2",if(${p_age}&gt;=60 and ${p_age}&lt;100,"2.5","--"))))</v>
      </c>
      <c r="K205" s="2" t="str">
        <f>GenerateDrugString(Table2[[#This Row],[Min_weight_kg]],Table2[[#This Row],[Max_weight_kg]],Table2[[#This Row],[rate]],Table35[kg])</f>
        <v>1.5 1.5 1.5 1.5</v>
      </c>
      <c r="L205" s="2" t="str">
        <f>CONCATENATE(Table2[[#This Row],[drugStringLine]],IF(TRIM(Table2[[#This Row],[drugStringLine]])="",""," "),IF(Table2[[#This Row],[drug]]=A206,L206,""))</f>
        <v xml:space="preserve">1.5 1.5 1.5 1.5 2 2.5 2.5 </v>
      </c>
    </row>
    <row r="206" spans="1:12">
      <c r="A206" t="s">
        <v>66</v>
      </c>
      <c r="B206" t="str">
        <f>IF(Table2[[#This Row],[drug]]&lt;&gt;A205,Table2[[#This Row],[drug]],"")</f>
        <v/>
      </c>
      <c r="C206">
        <v>15</v>
      </c>
      <c r="D206">
        <v>20</v>
      </c>
      <c r="E206">
        <v>36</v>
      </c>
      <c r="F206">
        <v>60</v>
      </c>
      <c r="G206">
        <v>2</v>
      </c>
      <c r="H206" s="2" t="str">
        <f>CONCATENATE("if(${p_weight_age}&gt;=",Table2[[#This Row],[Min_weight_kg]]," and ${p_weight_age}&lt;",Table2[[#This Row],[Max_weight_kg]],",""",Table2[[#This Row],[rate]],""",",IF(Table2[[#This Row],[drug]]=A207,H207,"""--"""),")")</f>
        <v>if(${p_weight_age}&gt;=15 and ${p_weight_age}&lt;20,"2",if(${p_weight_age}&gt;=20 and ${p_weight_age}&lt;100,"2.5","--"))</v>
      </c>
      <c r="I206" s="2" t="str">
        <f>CONCATENATE("if(${p_age}&gt;=",Table2[[#This Row],[Min_age_months]]," and ${p_age}&lt;",Table2[[#This Row],[Max_age_months]],",""",Table2[[#This Row],[rate]],""",",IF(Table2[[#This Row],[drug]]=A207,I207,"""--"""),")")</f>
        <v>if(${p_age}&gt;=36 and ${p_age}&lt;60,"2",if(${p_age}&gt;=60 and ${p_age}&lt;100,"2.5","--"))</v>
      </c>
      <c r="J206" s="2" t="str">
        <f>CONCATENATE("if(${p_weight}&gt;0,",Table2[[#This Row],[Formula weight]],",",Table2[[#This Row],[Formula Age]],")")</f>
        <v>if(${p_weight}&gt;0,if(${p_weight_age}&gt;=15 and ${p_weight_age}&lt;20,"2",if(${p_weight_age}&gt;=20 and ${p_weight_age}&lt;100,"2.5","--")),if(${p_age}&gt;=36 and ${p_age}&lt;60,"2",if(${p_age}&gt;=60 and ${p_age}&lt;100,"2.5","--")))</v>
      </c>
      <c r="K206" s="2" t="str">
        <f>GenerateDrugString(Table2[[#This Row],[Min_weight_kg]],Table2[[#This Row],[Max_weight_kg]],Table2[[#This Row],[rate]],Table35[kg])</f>
        <v>2</v>
      </c>
      <c r="L206" s="2" t="str">
        <f>CONCATENATE(Table2[[#This Row],[drugStringLine]],IF(TRIM(Table2[[#This Row],[drugStringLine]])="",""," "),IF(Table2[[#This Row],[drug]]=A207,L207,""))</f>
        <v xml:space="preserve">2 2.5 2.5 </v>
      </c>
    </row>
    <row r="207" spans="1:12">
      <c r="A207" t="s">
        <v>66</v>
      </c>
      <c r="B207" t="str">
        <f>IF(Table2[[#This Row],[drug]]&lt;&gt;A206,Table2[[#This Row],[drug]],"")</f>
        <v/>
      </c>
      <c r="C207">
        <v>20</v>
      </c>
      <c r="D207">
        <v>100</v>
      </c>
      <c r="E207">
        <v>60</v>
      </c>
      <c r="F207">
        <v>100</v>
      </c>
      <c r="G207">
        <v>2.5</v>
      </c>
      <c r="H207" s="2" t="str">
        <f>CONCATENATE("if(${p_weight_age}&gt;=",Table2[[#This Row],[Min_weight_kg]]," and ${p_weight_age}&lt;",Table2[[#This Row],[Max_weight_kg]],",""",Table2[[#This Row],[rate]],""",",IF(Table2[[#This Row],[drug]]=A208,H208,"""--"""),")")</f>
        <v>if(${p_weight_age}&gt;=20 and ${p_weight_age}&lt;100,"2.5","--")</v>
      </c>
      <c r="I207" s="2" t="str">
        <f>CONCATENATE("if(${p_age}&gt;=",Table2[[#This Row],[Min_age_months]]," and ${p_age}&lt;",Table2[[#This Row],[Max_age_months]],",""",Table2[[#This Row],[rate]],""",",IF(Table2[[#This Row],[drug]]=A208,I208,"""--"""),")")</f>
        <v>if(${p_age}&gt;=60 and ${p_age}&lt;100,"2.5","--")</v>
      </c>
      <c r="J207" s="2" t="str">
        <f>CONCATENATE("if(${p_weight}&gt;0,",Table2[[#This Row],[Formula weight]],",",Table2[[#This Row],[Formula Age]],")")</f>
        <v>if(${p_weight}&gt;0,if(${p_weight_age}&gt;=20 and ${p_weight_age}&lt;100,"2.5","--"),if(${p_age}&gt;=60 and ${p_age}&lt;100,"2.5","--"))</v>
      </c>
      <c r="K207" s="2" t="str">
        <f>GenerateDrugString(Table2[[#This Row],[Min_weight_kg]],Table2[[#This Row],[Max_weight_kg]],Table2[[#This Row],[rate]],Table35[kg])</f>
        <v>2.5 2.5</v>
      </c>
      <c r="L207" s="2" t="str">
        <f>CONCATENATE(Table2[[#This Row],[drugStringLine]],IF(TRIM(Table2[[#This Row],[drugStringLine]])="",""," "),IF(Table2[[#This Row],[drug]]=A208,L208,""))</f>
        <v xml:space="preserve">2.5 2.5 </v>
      </c>
    </row>
    <row r="208" spans="1:12">
      <c r="A208" t="s">
        <v>64</v>
      </c>
      <c r="B208" t="str">
        <f>IF(Table2[[#This Row],[drug]]&lt;&gt;A207,Table2[[#This Row],[drug]],"")</f>
        <v>amoxicillin_25_tab</v>
      </c>
      <c r="C208">
        <v>0</v>
      </c>
      <c r="D208">
        <v>3</v>
      </c>
      <c r="E208">
        <v>2</v>
      </c>
      <c r="F208">
        <v>4</v>
      </c>
      <c r="G208" t="s">
        <v>60</v>
      </c>
      <c r="H208" s="2" t="str">
        <f>CONCATENATE("if(${p_weight_age}&gt;=",Table2[[#This Row],[Min_weight_kg]]," and ${p_weight_age}&lt;",Table2[[#This Row],[Max_weight_kg]],",""",Table2[[#This Row],[rate]],""",",IF(Table2[[#This Row],[drug]]=A209,H209,"""--"""),")")</f>
        <v>if(${p_weight_age}&gt;=0 and ${p_weight_age}&lt;3,"--",if(${p_weight_age}&gt;=3 and ${p_weight_age}&lt;6,"1/2",if(${p_weight_age}&gt;=6 and ${p_weight_age}&lt;10,"1",if(${p_weight_age}&gt;=10 and ${p_weight_age}&lt;15,"1+1/2",if(${p_weight_age}&gt;=15 and ${p_weight_age}&lt;20,"2",if(${p_weight_age}&gt;=20 and ${p_weight_age}&lt;100,"2+1/5","--"))))))</v>
      </c>
      <c r="I208" s="2" t="str">
        <f>CONCATENATE("if(${p_age}&gt;=",Table2[[#This Row],[Min_age_months]]," and ${p_age}&lt;",Table2[[#This Row],[Max_age_months]],",""",Table2[[#This Row],[rate]],""",",IF(Table2[[#This Row],[drug]]=A209,I209,"""--"""),")")</f>
        <v>if(${p_age}&gt;=2 and ${p_age}&lt;4,"--",if(${p_age}&gt;=4 and ${p_age}&lt;12,"1/2",if(${p_age}&gt;=4 and ${p_age}&lt;12,"1",if(${p_age}&gt;=12 and ${p_age}&lt;36,"1+1/2",if(${p_age}&gt;=36 and ${p_age}&lt;60,"2",if(${p_age}&gt;=60 and ${p_age}&lt;100,"2+1/5","--"))))))</v>
      </c>
      <c r="J208" s="2" t="str">
        <f>CONCATENATE("if(${p_weight}&gt;0,",Table2[[#This Row],[Formula weight]],",",Table2[[#This Row],[Formula Age]],")")</f>
        <v>if(${p_weight}&gt;0,if(${p_weight_age}&gt;=0 and ${p_weight_age}&lt;3,"--",if(${p_weight_age}&gt;=3 and ${p_weight_age}&lt;6,"1/2",if(${p_weight_age}&gt;=6 and ${p_weight_age}&lt;10,"1",if(${p_weight_age}&gt;=10 and ${p_weight_age}&lt;15,"1+1/2",if(${p_weight_age}&gt;=15 and ${p_weight_age}&lt;20,"2",if(${p_weight_age}&gt;=20 and ${p_weight_age}&lt;100,"2+1/5","--")))))),if(${p_age}&gt;=2 and ${p_age}&lt;4,"--",if(${p_age}&gt;=4 and ${p_age}&lt;12,"1/2",if(${p_age}&gt;=4 and ${p_age}&lt;12,"1",if(${p_age}&gt;=12 and ${p_age}&lt;36,"1+1/2",if(${p_age}&gt;=36 and ${p_age}&lt;60,"2",if(${p_age}&gt;=60 and ${p_age}&lt;100,"2+1/5","--")))))))</v>
      </c>
      <c r="K208" s="2" t="str">
        <f>GenerateDrugString(Table2[[#This Row],[Min_weight_kg]],Table2[[#This Row],[Max_weight_kg]],Table2[[#This Row],[rate]],Table35[kg])</f>
        <v>--</v>
      </c>
      <c r="L208" s="2" t="str">
        <f>CONCATENATE(Table2[[#This Row],[drugStringLine]],IF(TRIM(Table2[[#This Row],[drugStringLine]])="",""," "),IF(Table2[[#This Row],[drug]]=A209,L209,""))</f>
        <v xml:space="preserve">-- 1/2 1/2 1/2 1/2 1/2 1 1 1 1 1 1+1/2 1+1/2 1+1/2 1+1/2 2 2+1/5 2+1/5 </v>
      </c>
    </row>
    <row r="209" spans="1:12">
      <c r="A209" t="s">
        <v>64</v>
      </c>
      <c r="B209" t="str">
        <f>IF(Table2[[#This Row],[drug]]&lt;&gt;A208,Table2[[#This Row],[drug]],"")</f>
        <v/>
      </c>
      <c r="C209">
        <v>3</v>
      </c>
      <c r="D209">
        <v>6</v>
      </c>
      <c r="E209">
        <v>4</v>
      </c>
      <c r="F209">
        <v>12</v>
      </c>
      <c r="G209" t="s">
        <v>5</v>
      </c>
      <c r="H209" s="2" t="str">
        <f>CONCATENATE("if(${p_weight_age}&gt;=",Table2[[#This Row],[Min_weight_kg]]," and ${p_weight_age}&lt;",Table2[[#This Row],[Max_weight_kg]],",""",Table2[[#This Row],[rate]],""",",IF(Table2[[#This Row],[drug]]=A210,H210,"""--"""),")")</f>
        <v>if(${p_weight_age}&gt;=3 and ${p_weight_age}&lt;6,"1/2",if(${p_weight_age}&gt;=6 and ${p_weight_age}&lt;10,"1",if(${p_weight_age}&gt;=10 and ${p_weight_age}&lt;15,"1+1/2",if(${p_weight_age}&gt;=15 and ${p_weight_age}&lt;20,"2",if(${p_weight_age}&gt;=20 and ${p_weight_age}&lt;100,"2+1/5","--")))))</v>
      </c>
      <c r="I209" s="2" t="str">
        <f>CONCATENATE("if(${p_age}&gt;=",Table2[[#This Row],[Min_age_months]]," and ${p_age}&lt;",Table2[[#This Row],[Max_age_months]],",""",Table2[[#This Row],[rate]],""",",IF(Table2[[#This Row],[drug]]=A210,I210,"""--"""),")")</f>
        <v>if(${p_age}&gt;=4 and ${p_age}&lt;12,"1/2",if(${p_age}&gt;=4 and ${p_age}&lt;12,"1",if(${p_age}&gt;=12 and ${p_age}&lt;36,"1+1/2",if(${p_age}&gt;=36 and ${p_age}&lt;60,"2",if(${p_age}&gt;=60 and ${p_age}&lt;100,"2+1/5","--")))))</v>
      </c>
      <c r="J209" s="2" t="str">
        <f>CONCATENATE("if(${p_weight}&gt;0,",Table2[[#This Row],[Formula weight]],",",Table2[[#This Row],[Formula Age]],")")</f>
        <v>if(${p_weight}&gt;0,if(${p_weight_age}&gt;=3 and ${p_weight_age}&lt;6,"1/2",if(${p_weight_age}&gt;=6 and ${p_weight_age}&lt;10,"1",if(${p_weight_age}&gt;=10 and ${p_weight_age}&lt;15,"1+1/2",if(${p_weight_age}&gt;=15 and ${p_weight_age}&lt;20,"2",if(${p_weight_age}&gt;=20 and ${p_weight_age}&lt;100,"2+1/5","--"))))),if(${p_age}&gt;=4 and ${p_age}&lt;12,"1/2",if(${p_age}&gt;=4 and ${p_age}&lt;12,"1",if(${p_age}&gt;=12 and ${p_age}&lt;36,"1+1/2",if(${p_age}&gt;=36 and ${p_age}&lt;60,"2",if(${p_age}&gt;=60 and ${p_age}&lt;100,"2+1/5","--"))))))</v>
      </c>
      <c r="K209" s="2" t="str">
        <f>GenerateDrugString(Table2[[#This Row],[Min_weight_kg]],Table2[[#This Row],[Max_weight_kg]],Table2[[#This Row],[rate]],Table35[kg])</f>
        <v>1/2 1/2 1/2 1/2 1/2</v>
      </c>
      <c r="L209" s="2" t="str">
        <f>CONCATENATE(Table2[[#This Row],[drugStringLine]],IF(TRIM(Table2[[#This Row],[drugStringLine]])="",""," "),IF(Table2[[#This Row],[drug]]=A210,L210,""))</f>
        <v xml:space="preserve">1/2 1/2 1/2 1/2 1/2 1 1 1 1 1 1+1/2 1+1/2 1+1/2 1+1/2 2 2+1/5 2+1/5 </v>
      </c>
    </row>
    <row r="210" spans="1:12">
      <c r="A210" t="s">
        <v>64</v>
      </c>
      <c r="B210" t="str">
        <f>IF(Table2[[#This Row],[drug]]&lt;&gt;A209,Table2[[#This Row],[drug]],"")</f>
        <v/>
      </c>
      <c r="C210">
        <v>6</v>
      </c>
      <c r="D210">
        <v>10</v>
      </c>
      <c r="E210">
        <v>4</v>
      </c>
      <c r="F210">
        <v>12</v>
      </c>
      <c r="G210">
        <v>1</v>
      </c>
      <c r="H210" s="2" t="str">
        <f>CONCATENATE("if(${p_weight_age}&gt;=",Table2[[#This Row],[Min_weight_kg]]," and ${p_weight_age}&lt;",Table2[[#This Row],[Max_weight_kg]],",""",Table2[[#This Row],[rate]],""",",IF(Table2[[#This Row],[drug]]=A211,H211,"""--"""),")")</f>
        <v>if(${p_weight_age}&gt;=6 and ${p_weight_age}&lt;10,"1",if(${p_weight_age}&gt;=10 and ${p_weight_age}&lt;15,"1+1/2",if(${p_weight_age}&gt;=15 and ${p_weight_age}&lt;20,"2",if(${p_weight_age}&gt;=20 and ${p_weight_age}&lt;100,"2+1/5","--"))))</v>
      </c>
      <c r="I210" s="2" t="str">
        <f>CONCATENATE("if(${p_age}&gt;=",Table2[[#This Row],[Min_age_months]]," and ${p_age}&lt;",Table2[[#This Row],[Max_age_months]],",""",Table2[[#This Row],[rate]],""",",IF(Table2[[#This Row],[drug]]=A211,I211,"""--"""),")")</f>
        <v>if(${p_age}&gt;=4 and ${p_age}&lt;12,"1",if(${p_age}&gt;=12 and ${p_age}&lt;36,"1+1/2",if(${p_age}&gt;=36 and ${p_age}&lt;60,"2",if(${p_age}&gt;=60 and ${p_age}&lt;100,"2+1/5","--"))))</v>
      </c>
      <c r="J210" s="2" t="str">
        <f>CONCATENATE("if(${p_weight}&gt;0,",Table2[[#This Row],[Formula weight]],",",Table2[[#This Row],[Formula Age]],")")</f>
        <v>if(${p_weight}&gt;0,if(${p_weight_age}&gt;=6 and ${p_weight_age}&lt;10,"1",if(${p_weight_age}&gt;=10 and ${p_weight_age}&lt;15,"1+1/2",if(${p_weight_age}&gt;=15 and ${p_weight_age}&lt;20,"2",if(${p_weight_age}&gt;=20 and ${p_weight_age}&lt;100,"2+1/5","--")))),if(${p_age}&gt;=4 and ${p_age}&lt;12,"1",if(${p_age}&gt;=12 and ${p_age}&lt;36,"1+1/2",if(${p_age}&gt;=36 and ${p_age}&lt;60,"2",if(${p_age}&gt;=60 and ${p_age}&lt;100,"2+1/5","--")))))</v>
      </c>
      <c r="K210" s="2" t="str">
        <f>GenerateDrugString(Table2[[#This Row],[Min_weight_kg]],Table2[[#This Row],[Max_weight_kg]],Table2[[#This Row],[rate]],Table35[kg])</f>
        <v>1 1 1 1 1</v>
      </c>
      <c r="L210" s="2" t="str">
        <f>CONCATENATE(Table2[[#This Row],[drugStringLine]],IF(TRIM(Table2[[#This Row],[drugStringLine]])="",""," "),IF(Table2[[#This Row],[drug]]=A211,L211,""))</f>
        <v xml:space="preserve">1 1 1 1 1 1+1/2 1+1/2 1+1/2 1+1/2 2 2+1/5 2+1/5 </v>
      </c>
    </row>
    <row r="211" spans="1:12">
      <c r="A211" t="s">
        <v>64</v>
      </c>
      <c r="B211" t="str">
        <f>IF(Table2[[#This Row],[drug]]&lt;&gt;A210,Table2[[#This Row],[drug]],"")</f>
        <v/>
      </c>
      <c r="C211">
        <v>10</v>
      </c>
      <c r="D211">
        <v>15</v>
      </c>
      <c r="E211">
        <v>12</v>
      </c>
      <c r="F211">
        <v>36</v>
      </c>
      <c r="G211" t="s">
        <v>67</v>
      </c>
      <c r="H211" s="2" t="str">
        <f>CONCATENATE("if(${p_weight_age}&gt;=",Table2[[#This Row],[Min_weight_kg]]," and ${p_weight_age}&lt;",Table2[[#This Row],[Max_weight_kg]],",""",Table2[[#This Row],[rate]],""",",IF(Table2[[#This Row],[drug]]=A212,H212,"""--"""),")")</f>
        <v>if(${p_weight_age}&gt;=10 and ${p_weight_age}&lt;15,"1+1/2",if(${p_weight_age}&gt;=15 and ${p_weight_age}&lt;20,"2",if(${p_weight_age}&gt;=20 and ${p_weight_age}&lt;100,"2+1/5","--")))</v>
      </c>
      <c r="I211" s="2" t="str">
        <f>CONCATENATE("if(${p_age}&gt;=",Table2[[#This Row],[Min_age_months]]," and ${p_age}&lt;",Table2[[#This Row],[Max_age_months]],",""",Table2[[#This Row],[rate]],""",",IF(Table2[[#This Row],[drug]]=A212,I212,"""--"""),")")</f>
        <v>if(${p_age}&gt;=12 and ${p_age}&lt;36,"1+1/2",if(${p_age}&gt;=36 and ${p_age}&lt;60,"2",if(${p_age}&gt;=60 and ${p_age}&lt;100,"2+1/5","--")))</v>
      </c>
      <c r="J211" s="2" t="str">
        <f>CONCATENATE("if(${p_weight}&gt;0,",Table2[[#This Row],[Formula weight]],",",Table2[[#This Row],[Formula Age]],")")</f>
        <v>if(${p_weight}&gt;0,if(${p_weight_age}&gt;=10 and ${p_weight_age}&lt;15,"1+1/2",if(${p_weight_age}&gt;=15 and ${p_weight_age}&lt;20,"2",if(${p_weight_age}&gt;=20 and ${p_weight_age}&lt;100,"2+1/5","--"))),if(${p_age}&gt;=12 and ${p_age}&lt;36,"1+1/2",if(${p_age}&gt;=36 and ${p_age}&lt;60,"2",if(${p_age}&gt;=60 and ${p_age}&lt;100,"2+1/5","--"))))</v>
      </c>
      <c r="K211" s="2" t="str">
        <f>GenerateDrugString(Table2[[#This Row],[Min_weight_kg]],Table2[[#This Row],[Max_weight_kg]],Table2[[#This Row],[rate]],Table35[kg])</f>
        <v>1+1/2 1+1/2 1+1/2 1+1/2</v>
      </c>
      <c r="L211" s="2" t="str">
        <f>CONCATENATE(Table2[[#This Row],[drugStringLine]],IF(TRIM(Table2[[#This Row],[drugStringLine]])="",""," "),IF(Table2[[#This Row],[drug]]=A212,L212,""))</f>
        <v xml:space="preserve">1+1/2 1+1/2 1+1/2 1+1/2 2 2+1/5 2+1/5 </v>
      </c>
    </row>
    <row r="212" spans="1:12">
      <c r="A212" t="s">
        <v>64</v>
      </c>
      <c r="B212" t="str">
        <f>IF(Table2[[#This Row],[drug]]&lt;&gt;A211,Table2[[#This Row],[drug]],"")</f>
        <v/>
      </c>
      <c r="C212">
        <v>15</v>
      </c>
      <c r="D212">
        <v>20</v>
      </c>
      <c r="E212">
        <v>36</v>
      </c>
      <c r="F212">
        <v>60</v>
      </c>
      <c r="G212">
        <v>2</v>
      </c>
      <c r="H212" s="2" t="str">
        <f>CONCATENATE("if(${p_weight_age}&gt;=",Table2[[#This Row],[Min_weight_kg]]," and ${p_weight_age}&lt;",Table2[[#This Row],[Max_weight_kg]],",""",Table2[[#This Row],[rate]],""",",IF(Table2[[#This Row],[drug]]=A213,H213,"""--"""),")")</f>
        <v>if(${p_weight_age}&gt;=15 and ${p_weight_age}&lt;20,"2",if(${p_weight_age}&gt;=20 and ${p_weight_age}&lt;100,"2+1/5","--"))</v>
      </c>
      <c r="I212" s="2" t="str">
        <f>CONCATENATE("if(${p_age}&gt;=",Table2[[#This Row],[Min_age_months]]," and ${p_age}&lt;",Table2[[#This Row],[Max_age_months]],",""",Table2[[#This Row],[rate]],""",",IF(Table2[[#This Row],[drug]]=A213,I213,"""--"""),")")</f>
        <v>if(${p_age}&gt;=36 and ${p_age}&lt;60,"2",if(${p_age}&gt;=60 and ${p_age}&lt;100,"2+1/5","--"))</v>
      </c>
      <c r="J212" s="2" t="str">
        <f>CONCATENATE("if(${p_weight}&gt;0,",Table2[[#This Row],[Formula weight]],",",Table2[[#This Row],[Formula Age]],")")</f>
        <v>if(${p_weight}&gt;0,if(${p_weight_age}&gt;=15 and ${p_weight_age}&lt;20,"2",if(${p_weight_age}&gt;=20 and ${p_weight_age}&lt;100,"2+1/5","--")),if(${p_age}&gt;=36 and ${p_age}&lt;60,"2",if(${p_age}&gt;=60 and ${p_age}&lt;100,"2+1/5","--")))</v>
      </c>
      <c r="K212" s="2" t="str">
        <f>GenerateDrugString(Table2[[#This Row],[Min_weight_kg]],Table2[[#This Row],[Max_weight_kg]],Table2[[#This Row],[rate]],Table35[kg])</f>
        <v>2</v>
      </c>
      <c r="L212" s="2" t="str">
        <f>CONCATENATE(Table2[[#This Row],[drugStringLine]],IF(TRIM(Table2[[#This Row],[drugStringLine]])="",""," "),IF(Table2[[#This Row],[drug]]=A213,L213,""))</f>
        <v xml:space="preserve">2 2+1/5 2+1/5 </v>
      </c>
    </row>
    <row r="213" spans="1:12">
      <c r="A213" t="s">
        <v>64</v>
      </c>
      <c r="B213" t="str">
        <f>IF(Table2[[#This Row],[drug]]&lt;&gt;A212,Table2[[#This Row],[drug]],"")</f>
        <v/>
      </c>
      <c r="C213">
        <v>20</v>
      </c>
      <c r="D213">
        <v>100</v>
      </c>
      <c r="E213">
        <v>60</v>
      </c>
      <c r="F213">
        <v>100</v>
      </c>
      <c r="G213" t="s">
        <v>68</v>
      </c>
      <c r="H213" s="2" t="str">
        <f>CONCATENATE("if(${p_weight_age}&gt;=",Table2[[#This Row],[Min_weight_kg]]," and ${p_weight_age}&lt;",Table2[[#This Row],[Max_weight_kg]],",""",Table2[[#This Row],[rate]],""",",IF(Table2[[#This Row],[drug]]=A214,H214,"""--"""),")")</f>
        <v>if(${p_weight_age}&gt;=20 and ${p_weight_age}&lt;100,"2+1/5","--")</v>
      </c>
      <c r="I213" s="2" t="str">
        <f>CONCATENATE("if(${p_age}&gt;=",Table2[[#This Row],[Min_age_months]]," and ${p_age}&lt;",Table2[[#This Row],[Max_age_months]],",""",Table2[[#This Row],[rate]],""",",IF(Table2[[#This Row],[drug]]=A214,I214,"""--"""),")")</f>
        <v>if(${p_age}&gt;=60 and ${p_age}&lt;100,"2+1/5","--")</v>
      </c>
      <c r="J213" s="2" t="str">
        <f>CONCATENATE("if(${p_weight}&gt;0,",Table2[[#This Row],[Formula weight]],",",Table2[[#This Row],[Formula Age]],")")</f>
        <v>if(${p_weight}&gt;0,if(${p_weight_age}&gt;=20 and ${p_weight_age}&lt;100,"2+1/5","--"),if(${p_age}&gt;=60 and ${p_age}&lt;100,"2+1/5","--"))</v>
      </c>
      <c r="K213" s="2" t="str">
        <f>GenerateDrugString(Table2[[#This Row],[Min_weight_kg]],Table2[[#This Row],[Max_weight_kg]],Table2[[#This Row],[rate]],Table35[kg])</f>
        <v>2+1/5 2+1/5</v>
      </c>
      <c r="L213" s="2" t="str">
        <f>CONCATENATE(Table2[[#This Row],[drugStringLine]],IF(TRIM(Table2[[#This Row],[drugStringLine]])="",""," "),IF(Table2[[#This Row],[drug]]=A214,L214,""))</f>
        <v xml:space="preserve">2+1/5 2+1/5 </v>
      </c>
    </row>
    <row r="214" spans="1:12">
      <c r="A214" t="s">
        <v>62</v>
      </c>
      <c r="B214" t="str">
        <f>IF(Table2[[#This Row],[drug]]&lt;&gt;A213,Table2[[#This Row],[drug]],"")</f>
        <v>azithromycin_tab</v>
      </c>
      <c r="C214">
        <v>0</v>
      </c>
      <c r="D214">
        <v>4</v>
      </c>
      <c r="E214">
        <v>0</v>
      </c>
      <c r="F214">
        <v>2</v>
      </c>
      <c r="G214" t="s">
        <v>60</v>
      </c>
      <c r="H214" s="2" t="str">
        <f>CONCATENATE("if(${p_weight_age}&gt;=",Table2[[#This Row],[Min_weight_kg]]," and ${p_weight_age}&lt;",Table2[[#This Row],[Max_weight_kg]],",""",Table2[[#This Row],[rate]],""",",IF(Table2[[#This Row],[drug]]=A215,H215,"""--"""),")")</f>
        <v>if(${p_weight_age}&gt;=0 and ${p_weight_age}&lt;4,"--",if(${p_weight_age}&gt;=4 and ${p_weight_age}&lt;6,"--",if(${p_weight_age}&gt;=6 and ${p_weight_age}&lt;10,"1/2",if(${p_weight_age}&gt;=10 and ${p_weight_age}&lt;15,"1",if(${p_weight_age}&gt;=15 and ${p_weight_age}&lt;100,"1+1/2","--")))))</v>
      </c>
      <c r="I214" s="2" t="str">
        <f>CONCATENATE("if(${p_age}&gt;=",Table2[[#This Row],[Min_age_months]]," and ${p_age}&lt;",Table2[[#This Row],[Max_age_months]],",""",Table2[[#This Row],[rate]],""",",IF(Table2[[#This Row],[drug]]=A215,I215,"""--"""),")")</f>
        <v>if(${p_age}&gt;=0 and ${p_age}&lt;2,"--",if(${p_age}&gt;=2 and ${p_age}&lt;4,"--",if(${p_age}&gt;=4 and ${p_age}&lt;12,"1/2",if(${p_age}&gt;=12 and ${p_age}&lt;36,"1",if(${p_age}&gt;=36 and ${p_age}&lt;100,"1+1/2","--")))))</v>
      </c>
      <c r="J214" s="2" t="str">
        <f>CONCATENATE("if(${p_weight}&gt;0,",Table2[[#This Row],[Formula weight]],",",Table2[[#This Row],[Formula Age]],")")</f>
        <v>if(${p_weight}&gt;0,if(${p_weight_age}&gt;=0 and ${p_weight_age}&lt;4,"--",if(${p_weight_age}&gt;=4 and ${p_weight_age}&lt;6,"--",if(${p_weight_age}&gt;=6 and ${p_weight_age}&lt;10,"1/2",if(${p_weight_age}&gt;=10 and ${p_weight_age}&lt;15,"1",if(${p_weight_age}&gt;=15 and ${p_weight_age}&lt;100,"1+1/2","--"))))),if(${p_age}&gt;=0 and ${p_age}&lt;2,"--",if(${p_age}&gt;=2 and ${p_age}&lt;4,"--",if(${p_age}&gt;=4 and ${p_age}&lt;12,"1/2",if(${p_age}&gt;=12 and ${p_age}&lt;36,"1",if(${p_age}&gt;=36 and ${p_age}&lt;100,"1+1/2","--"))))))</v>
      </c>
      <c r="K214" s="2" t="str">
        <f>GenerateDrugString(Table2[[#This Row],[Min_weight_kg]],Table2[[#This Row],[Max_weight_kg]],Table2[[#This Row],[rate]],Table35[kg])</f>
        <v>-- -- --</v>
      </c>
      <c r="L214" s="2" t="str">
        <f>CONCATENATE(Table2[[#This Row],[drugStringLine]],IF(TRIM(Table2[[#This Row],[drugStringLine]])="",""," "),IF(Table2[[#This Row],[drug]]=A215,L215,""))</f>
        <v xml:space="preserve">-- -- -- -- -- -- 1/2 1/2 1/2 1/2 1/2 1 1 1 1 1+1/2 1+1/2 1+1/2 </v>
      </c>
    </row>
    <row r="215" spans="1:12">
      <c r="A215" t="s">
        <v>62</v>
      </c>
      <c r="B215" t="str">
        <f>IF(Table2[[#This Row],[drug]]&lt;&gt;A214,Table2[[#This Row],[drug]],"")</f>
        <v/>
      </c>
      <c r="C215">
        <v>4</v>
      </c>
      <c r="D215">
        <v>6</v>
      </c>
      <c r="E215">
        <v>2</v>
      </c>
      <c r="F215">
        <v>4</v>
      </c>
      <c r="G215" t="s">
        <v>60</v>
      </c>
      <c r="H215" s="2" t="str">
        <f>CONCATENATE("if(${p_weight_age}&gt;=",Table2[[#This Row],[Min_weight_kg]]," and ${p_weight_age}&lt;",Table2[[#This Row],[Max_weight_kg]],",""",Table2[[#This Row],[rate]],""",",IF(Table2[[#This Row],[drug]]=A216,H216,"""--"""),")")</f>
        <v>if(${p_weight_age}&gt;=4 and ${p_weight_age}&lt;6,"--",if(${p_weight_age}&gt;=6 and ${p_weight_age}&lt;10,"1/2",if(${p_weight_age}&gt;=10 and ${p_weight_age}&lt;15,"1",if(${p_weight_age}&gt;=15 and ${p_weight_age}&lt;100,"1+1/2","--"))))</v>
      </c>
      <c r="I215" s="2" t="str">
        <f>CONCATENATE("if(${p_age}&gt;=",Table2[[#This Row],[Min_age_months]]," and ${p_age}&lt;",Table2[[#This Row],[Max_age_months]],",""",Table2[[#This Row],[rate]],""",",IF(Table2[[#This Row],[drug]]=A216,I216,"""--"""),")")</f>
        <v>if(${p_age}&gt;=2 and ${p_age}&lt;4,"--",if(${p_age}&gt;=4 and ${p_age}&lt;12,"1/2",if(${p_age}&gt;=12 and ${p_age}&lt;36,"1",if(${p_age}&gt;=36 and ${p_age}&lt;100,"1+1/2","--"))))</v>
      </c>
      <c r="J215" s="2" t="str">
        <f>CONCATENATE("if(${p_weight}&gt;0,",Table2[[#This Row],[Formula weight]],",",Table2[[#This Row],[Formula Age]],")")</f>
        <v>if(${p_weight}&gt;0,if(${p_weight_age}&gt;=4 and ${p_weight_age}&lt;6,"--",if(${p_weight_age}&gt;=6 and ${p_weight_age}&lt;10,"1/2",if(${p_weight_age}&gt;=10 and ${p_weight_age}&lt;15,"1",if(${p_weight_age}&gt;=15 and ${p_weight_age}&lt;100,"1+1/2","--")))),if(${p_age}&gt;=2 and ${p_age}&lt;4,"--",if(${p_age}&gt;=4 and ${p_age}&lt;12,"1/2",if(${p_age}&gt;=12 and ${p_age}&lt;36,"1",if(${p_age}&gt;=36 and ${p_age}&lt;100,"1+1/2","--")))))</v>
      </c>
      <c r="K215" s="2" t="str">
        <f>GenerateDrugString(Table2[[#This Row],[Min_weight_kg]],Table2[[#This Row],[Max_weight_kg]],Table2[[#This Row],[rate]],Table35[kg])</f>
        <v>-- -- --</v>
      </c>
      <c r="L215" s="2" t="str">
        <f>CONCATENATE(Table2[[#This Row],[drugStringLine]],IF(TRIM(Table2[[#This Row],[drugStringLine]])="",""," "),IF(Table2[[#This Row],[drug]]=A216,L216,""))</f>
        <v xml:space="preserve">-- -- -- 1/2 1/2 1/2 1/2 1/2 1 1 1 1 1+1/2 1+1/2 1+1/2 </v>
      </c>
    </row>
    <row r="216" spans="1:12">
      <c r="A216" t="s">
        <v>62</v>
      </c>
      <c r="B216" t="str">
        <f>IF(Table2[[#This Row],[drug]]&lt;&gt;A215,Table2[[#This Row],[drug]],"")</f>
        <v/>
      </c>
      <c r="C216">
        <v>6</v>
      </c>
      <c r="D216">
        <v>10</v>
      </c>
      <c r="E216">
        <v>4</v>
      </c>
      <c r="F216">
        <v>12</v>
      </c>
      <c r="G216" t="s">
        <v>5</v>
      </c>
      <c r="H216" s="2" t="str">
        <f>CONCATENATE("if(${p_weight_age}&gt;=",Table2[[#This Row],[Min_weight_kg]]," and ${p_weight_age}&lt;",Table2[[#This Row],[Max_weight_kg]],",""",Table2[[#This Row],[rate]],""",",IF(Table2[[#This Row],[drug]]=A217,H217,"""--"""),")")</f>
        <v>if(${p_weight_age}&gt;=6 and ${p_weight_age}&lt;10,"1/2",if(${p_weight_age}&gt;=10 and ${p_weight_age}&lt;15,"1",if(${p_weight_age}&gt;=15 and ${p_weight_age}&lt;100,"1+1/2","--")))</v>
      </c>
      <c r="I216" s="2" t="str">
        <f>CONCATENATE("if(${p_age}&gt;=",Table2[[#This Row],[Min_age_months]]," and ${p_age}&lt;",Table2[[#This Row],[Max_age_months]],",""",Table2[[#This Row],[rate]],""",",IF(Table2[[#This Row],[drug]]=A217,I217,"""--"""),")")</f>
        <v>if(${p_age}&gt;=4 and ${p_age}&lt;12,"1/2",if(${p_age}&gt;=12 and ${p_age}&lt;36,"1",if(${p_age}&gt;=36 and ${p_age}&lt;100,"1+1/2","--")))</v>
      </c>
      <c r="J216" s="2" t="str">
        <f>CONCATENATE("if(${p_weight}&gt;0,",Table2[[#This Row],[Formula weight]],",",Table2[[#This Row],[Formula Age]],")")</f>
        <v>if(${p_weight}&gt;0,if(${p_weight_age}&gt;=6 and ${p_weight_age}&lt;10,"1/2",if(${p_weight_age}&gt;=10 and ${p_weight_age}&lt;15,"1",if(${p_weight_age}&gt;=15 and ${p_weight_age}&lt;100,"1+1/2","--"))),if(${p_age}&gt;=4 and ${p_age}&lt;12,"1/2",if(${p_age}&gt;=12 and ${p_age}&lt;36,"1",if(${p_age}&gt;=36 and ${p_age}&lt;100,"1+1/2","--"))))</v>
      </c>
      <c r="K216" s="2" t="str">
        <f>GenerateDrugString(Table2[[#This Row],[Min_weight_kg]],Table2[[#This Row],[Max_weight_kg]],Table2[[#This Row],[rate]],Table35[kg])</f>
        <v>1/2 1/2 1/2 1/2 1/2</v>
      </c>
      <c r="L216" s="2" t="str">
        <f>CONCATENATE(Table2[[#This Row],[drugStringLine]],IF(TRIM(Table2[[#This Row],[drugStringLine]])="",""," "),IF(Table2[[#This Row],[drug]]=A217,L217,""))</f>
        <v xml:space="preserve">1/2 1/2 1/2 1/2 1/2 1 1 1 1 1+1/2 1+1/2 1+1/2 </v>
      </c>
    </row>
    <row r="217" spans="1:12">
      <c r="A217" t="s">
        <v>62</v>
      </c>
      <c r="B217" t="str">
        <f>IF(Table2[[#This Row],[drug]]&lt;&gt;A216,Table2[[#This Row],[drug]],"")</f>
        <v/>
      </c>
      <c r="C217">
        <v>10</v>
      </c>
      <c r="D217">
        <v>15</v>
      </c>
      <c r="E217">
        <v>12</v>
      </c>
      <c r="F217">
        <v>36</v>
      </c>
      <c r="G217">
        <v>1</v>
      </c>
      <c r="H217" s="2" t="str">
        <f>CONCATENATE("if(${p_weight_age}&gt;=",Table2[[#This Row],[Min_weight_kg]]," and ${p_weight_age}&lt;",Table2[[#This Row],[Max_weight_kg]],",""",Table2[[#This Row],[rate]],""",",IF(Table2[[#This Row],[drug]]=A218,H218,"""--"""),")")</f>
        <v>if(${p_weight_age}&gt;=10 and ${p_weight_age}&lt;15,"1",if(${p_weight_age}&gt;=15 and ${p_weight_age}&lt;100,"1+1/2","--"))</v>
      </c>
      <c r="I217" s="2" t="str">
        <f>CONCATENATE("if(${p_age}&gt;=",Table2[[#This Row],[Min_age_months]]," and ${p_age}&lt;",Table2[[#This Row],[Max_age_months]],",""",Table2[[#This Row],[rate]],""",",IF(Table2[[#This Row],[drug]]=A218,I218,"""--"""),")")</f>
        <v>if(${p_age}&gt;=12 and ${p_age}&lt;36,"1",if(${p_age}&gt;=36 and ${p_age}&lt;100,"1+1/2","--"))</v>
      </c>
      <c r="J217" s="2" t="str">
        <f>CONCATENATE("if(${p_weight}&gt;0,",Table2[[#This Row],[Formula weight]],",",Table2[[#This Row],[Formula Age]],")")</f>
        <v>if(${p_weight}&gt;0,if(${p_weight_age}&gt;=10 and ${p_weight_age}&lt;15,"1",if(${p_weight_age}&gt;=15 and ${p_weight_age}&lt;100,"1+1/2","--")),if(${p_age}&gt;=12 and ${p_age}&lt;36,"1",if(${p_age}&gt;=36 and ${p_age}&lt;100,"1+1/2","--")))</v>
      </c>
      <c r="K217" s="2" t="str">
        <f>GenerateDrugString(Table2[[#This Row],[Min_weight_kg]],Table2[[#This Row],[Max_weight_kg]],Table2[[#This Row],[rate]],Table35[kg])</f>
        <v>1 1 1 1</v>
      </c>
      <c r="L217" s="2" t="str">
        <f>CONCATENATE(Table2[[#This Row],[drugStringLine]],IF(TRIM(Table2[[#This Row],[drugStringLine]])="",""," "),IF(Table2[[#This Row],[drug]]=A218,L218,""))</f>
        <v xml:space="preserve">1 1 1 1 1+1/2 1+1/2 1+1/2 </v>
      </c>
    </row>
    <row r="218" spans="1:12">
      <c r="A218" t="s">
        <v>62</v>
      </c>
      <c r="B218" t="str">
        <f>IF(Table2[[#This Row],[drug]]&lt;&gt;A217,Table2[[#This Row],[drug]],"")</f>
        <v/>
      </c>
      <c r="C218">
        <v>15</v>
      </c>
      <c r="D218">
        <v>100</v>
      </c>
      <c r="E218">
        <v>36</v>
      </c>
      <c r="F218">
        <v>100</v>
      </c>
      <c r="G218" t="s">
        <v>67</v>
      </c>
      <c r="H218" s="2" t="str">
        <f>CONCATENATE("if(${p_weight_age}&gt;=",Table2[[#This Row],[Min_weight_kg]]," and ${p_weight_age}&lt;",Table2[[#This Row],[Max_weight_kg]],",""",Table2[[#This Row],[rate]],""",",IF(Table2[[#This Row],[drug]]=A219,H219,"""--"""),")")</f>
        <v>if(${p_weight_age}&gt;=15 and ${p_weight_age}&lt;100,"1+1/2","--")</v>
      </c>
      <c r="I218" s="2" t="str">
        <f>CONCATENATE("if(${p_age}&gt;=",Table2[[#This Row],[Min_age_months]]," and ${p_age}&lt;",Table2[[#This Row],[Max_age_months]],",""",Table2[[#This Row],[rate]],""",",IF(Table2[[#This Row],[drug]]=A219,I219,"""--"""),")")</f>
        <v>if(${p_age}&gt;=36 and ${p_age}&lt;100,"1+1/2","--")</v>
      </c>
      <c r="J218" s="2" t="str">
        <f>CONCATENATE("if(${p_weight}&gt;0,",Table2[[#This Row],[Formula weight]],",",Table2[[#This Row],[Formula Age]],")")</f>
        <v>if(${p_weight}&gt;0,if(${p_weight_age}&gt;=15 and ${p_weight_age}&lt;100,"1+1/2","--"),if(${p_age}&gt;=36 and ${p_age}&lt;100,"1+1/2","--"))</v>
      </c>
      <c r="K218" s="2" t="str">
        <f>GenerateDrugString(Table2[[#This Row],[Min_weight_kg]],Table2[[#This Row],[Max_weight_kg]],Table2[[#This Row],[rate]],Table35[kg])</f>
        <v>1+1/2 1+1/2 1+1/2</v>
      </c>
      <c r="L218" s="2" t="str">
        <f>CONCATENATE(Table2[[#This Row],[drugStringLine]],IF(TRIM(Table2[[#This Row],[drugStringLine]])="",""," "),IF(Table2[[#This Row],[drug]]=A219,L219,""))</f>
        <v xml:space="preserve">1+1/2 1+1/2 1+1/2 </v>
      </c>
    </row>
    <row r="219" spans="1:12">
      <c r="A219" t="s">
        <v>61</v>
      </c>
      <c r="B219" t="str">
        <f>IF(Table2[[#This Row],[drug]]&lt;&gt;A218,Table2[[#This Row],[drug]],"")</f>
        <v>azithromycin_ml</v>
      </c>
      <c r="C219">
        <v>0</v>
      </c>
      <c r="D219">
        <v>4</v>
      </c>
      <c r="E219">
        <v>0</v>
      </c>
      <c r="F219">
        <v>2</v>
      </c>
      <c r="G219">
        <v>0</v>
      </c>
      <c r="H219" s="2" t="str">
        <f>CONCATENATE("if(${p_weight_age}&gt;=",Table2[[#This Row],[Min_weight_kg]]," and ${p_weight_age}&lt;",Table2[[#This Row],[Max_weight_kg]],",""",Table2[[#This Row],[rate]],""",",IF(Table2[[#This Row],[drug]]=A220,H220,"""--"""),")")</f>
        <v>if(${p_weight_age}&gt;=0 and ${p_weight_age}&lt;4,"0",if(${p_weight_age}&gt;=4 and ${p_weight_age}&lt;6,"2.5",if(${p_weight_age}&gt;=6 and ${p_weight_age}&lt;10,"4",if(${p_weight_age}&gt;=10 and ${p_weight_age}&lt;15,"5",if(${p_weight_age}&gt;=15 and ${p_weight_age}&lt;100,"--","--")))))</v>
      </c>
      <c r="I219" s="2" t="str">
        <f>CONCATENATE("if(${p_age}&gt;=",Table2[[#This Row],[Min_age_months]]," and ${p_age}&lt;",Table2[[#This Row],[Max_age_months]],",""",Table2[[#This Row],[rate]],""",",IF(Table2[[#This Row],[drug]]=A220,I220,"""--"""),")")</f>
        <v>if(${p_age}&gt;=0 and ${p_age}&lt;2,"0",if(${p_age}&gt;=2 and ${p_age}&lt;4,"2.5",if(${p_age}&gt;=4 and ${p_age}&lt;12,"4",if(${p_age}&gt;=12 and ${p_age}&lt;36,"5",if(${p_age}&gt;=36 and ${p_age}&lt;100,"--","--")))))</v>
      </c>
      <c r="J219" s="2" t="str">
        <f>CONCATENATE("if(${p_weight}&gt;0,",Table2[[#This Row],[Formula weight]],",",Table2[[#This Row],[Formula Age]],")")</f>
        <v>if(${p_weight}&gt;0,if(${p_weight_age}&gt;=0 and ${p_weight_age}&lt;4,"0",if(${p_weight_age}&gt;=4 and ${p_weight_age}&lt;6,"2.5",if(${p_weight_age}&gt;=6 and ${p_weight_age}&lt;10,"4",if(${p_weight_age}&gt;=10 and ${p_weight_age}&lt;15,"5",if(${p_weight_age}&gt;=15 and ${p_weight_age}&lt;100,"--","--"))))),if(${p_age}&gt;=0 and ${p_age}&lt;2,"0",if(${p_age}&gt;=2 and ${p_age}&lt;4,"2.5",if(${p_age}&gt;=4 and ${p_age}&lt;12,"4",if(${p_age}&gt;=12 and ${p_age}&lt;36,"5",if(${p_age}&gt;=36 and ${p_age}&lt;100,"--","--"))))))</v>
      </c>
      <c r="K219" s="2" t="str">
        <f>GenerateDrugString(Table2[[#This Row],[Min_weight_kg]],Table2[[#This Row],[Max_weight_kg]],Table2[[#This Row],[rate]],Table35[kg])</f>
        <v>0 0 0</v>
      </c>
      <c r="L219" s="2" t="str">
        <f>CONCATENATE(Table2[[#This Row],[drugStringLine]],IF(TRIM(Table2[[#This Row],[drugStringLine]])="",""," "),IF(Table2[[#This Row],[drug]]=A220,L220,""))</f>
        <v xml:space="preserve">0 0 0 2.5 2.5 2.5 4 4 4 4 4 5 5 5 5 -- -- -- </v>
      </c>
    </row>
    <row r="220" spans="1:12">
      <c r="A220" t="s">
        <v>61</v>
      </c>
      <c r="B220" t="str">
        <f>IF(Table2[[#This Row],[drug]]&lt;&gt;A219,Table2[[#This Row],[drug]],"")</f>
        <v/>
      </c>
      <c r="C220">
        <v>4</v>
      </c>
      <c r="D220">
        <v>6</v>
      </c>
      <c r="E220">
        <v>2</v>
      </c>
      <c r="F220">
        <v>4</v>
      </c>
      <c r="G220">
        <v>2.5</v>
      </c>
      <c r="H220" s="2" t="str">
        <f>CONCATENATE("if(${p_weight_age}&gt;=",Table2[[#This Row],[Min_weight_kg]]," and ${p_weight_age}&lt;",Table2[[#This Row],[Max_weight_kg]],",""",Table2[[#This Row],[rate]],""",",IF(Table2[[#This Row],[drug]]=A221,H221,"""--"""),")")</f>
        <v>if(${p_weight_age}&gt;=4 and ${p_weight_age}&lt;6,"2.5",if(${p_weight_age}&gt;=6 and ${p_weight_age}&lt;10,"4",if(${p_weight_age}&gt;=10 and ${p_weight_age}&lt;15,"5",if(${p_weight_age}&gt;=15 and ${p_weight_age}&lt;100,"--","--"))))</v>
      </c>
      <c r="I220" s="2" t="str">
        <f>CONCATENATE("if(${p_age}&gt;=",Table2[[#This Row],[Min_age_months]]," and ${p_age}&lt;",Table2[[#This Row],[Max_age_months]],",""",Table2[[#This Row],[rate]],""",",IF(Table2[[#This Row],[drug]]=A221,I221,"""--"""),")")</f>
        <v>if(${p_age}&gt;=2 and ${p_age}&lt;4,"2.5",if(${p_age}&gt;=4 and ${p_age}&lt;12,"4",if(${p_age}&gt;=12 and ${p_age}&lt;36,"5",if(${p_age}&gt;=36 and ${p_age}&lt;100,"--","--"))))</v>
      </c>
      <c r="J220" s="2" t="str">
        <f>CONCATENATE("if(${p_weight}&gt;0,",Table2[[#This Row],[Formula weight]],",",Table2[[#This Row],[Formula Age]],")")</f>
        <v>if(${p_weight}&gt;0,if(${p_weight_age}&gt;=4 and ${p_weight_age}&lt;6,"2.5",if(${p_weight_age}&gt;=6 and ${p_weight_age}&lt;10,"4",if(${p_weight_age}&gt;=10 and ${p_weight_age}&lt;15,"5",if(${p_weight_age}&gt;=15 and ${p_weight_age}&lt;100,"--","--")))),if(${p_age}&gt;=2 and ${p_age}&lt;4,"2.5",if(${p_age}&gt;=4 and ${p_age}&lt;12,"4",if(${p_age}&gt;=12 and ${p_age}&lt;36,"5",if(${p_age}&gt;=36 and ${p_age}&lt;100,"--","--")))))</v>
      </c>
      <c r="K220" s="2" t="str">
        <f>GenerateDrugString(Table2[[#This Row],[Min_weight_kg]],Table2[[#This Row],[Max_weight_kg]],Table2[[#This Row],[rate]],Table35[kg])</f>
        <v>2.5 2.5 2.5</v>
      </c>
      <c r="L220" s="2" t="str">
        <f>CONCATENATE(Table2[[#This Row],[drugStringLine]],IF(TRIM(Table2[[#This Row],[drugStringLine]])="",""," "),IF(Table2[[#This Row],[drug]]=A221,L221,""))</f>
        <v xml:space="preserve">2.5 2.5 2.5 4 4 4 4 4 5 5 5 5 -- -- -- </v>
      </c>
    </row>
    <row r="221" spans="1:12">
      <c r="A221" t="s">
        <v>61</v>
      </c>
      <c r="B221" t="str">
        <f>IF(Table2[[#This Row],[drug]]&lt;&gt;A220,Table2[[#This Row],[drug]],"")</f>
        <v/>
      </c>
      <c r="C221">
        <v>6</v>
      </c>
      <c r="D221">
        <v>10</v>
      </c>
      <c r="E221">
        <v>4</v>
      </c>
      <c r="F221">
        <v>12</v>
      </c>
      <c r="G221">
        <v>4</v>
      </c>
      <c r="H221" s="2" t="str">
        <f>CONCATENATE("if(${p_weight_age}&gt;=",Table2[[#This Row],[Min_weight_kg]]," and ${p_weight_age}&lt;",Table2[[#This Row],[Max_weight_kg]],",""",Table2[[#This Row],[rate]],""",",IF(Table2[[#This Row],[drug]]=A222,H222,"""--"""),")")</f>
        <v>if(${p_weight_age}&gt;=6 and ${p_weight_age}&lt;10,"4",if(${p_weight_age}&gt;=10 and ${p_weight_age}&lt;15,"5",if(${p_weight_age}&gt;=15 and ${p_weight_age}&lt;100,"--","--")))</v>
      </c>
      <c r="I221" s="2" t="str">
        <f>CONCATENATE("if(${p_age}&gt;=",Table2[[#This Row],[Min_age_months]]," and ${p_age}&lt;",Table2[[#This Row],[Max_age_months]],",""",Table2[[#This Row],[rate]],""",",IF(Table2[[#This Row],[drug]]=A222,I222,"""--"""),")")</f>
        <v>if(${p_age}&gt;=4 and ${p_age}&lt;12,"4",if(${p_age}&gt;=12 and ${p_age}&lt;36,"5",if(${p_age}&gt;=36 and ${p_age}&lt;100,"--","--")))</v>
      </c>
      <c r="J221" s="2" t="str">
        <f>CONCATENATE("if(${p_weight}&gt;0,",Table2[[#This Row],[Formula weight]],",",Table2[[#This Row],[Formula Age]],")")</f>
        <v>if(${p_weight}&gt;0,if(${p_weight_age}&gt;=6 and ${p_weight_age}&lt;10,"4",if(${p_weight_age}&gt;=10 and ${p_weight_age}&lt;15,"5",if(${p_weight_age}&gt;=15 and ${p_weight_age}&lt;100,"--","--"))),if(${p_age}&gt;=4 and ${p_age}&lt;12,"4",if(${p_age}&gt;=12 and ${p_age}&lt;36,"5",if(${p_age}&gt;=36 and ${p_age}&lt;100,"--","--"))))</v>
      </c>
      <c r="K221" s="2" t="str">
        <f>GenerateDrugString(Table2[[#This Row],[Min_weight_kg]],Table2[[#This Row],[Max_weight_kg]],Table2[[#This Row],[rate]],Table35[kg])</f>
        <v>4 4 4 4 4</v>
      </c>
      <c r="L221" s="2" t="str">
        <f>CONCATENATE(Table2[[#This Row],[drugStringLine]],IF(TRIM(Table2[[#This Row],[drugStringLine]])="",""," "),IF(Table2[[#This Row],[drug]]=A222,L222,""))</f>
        <v xml:space="preserve">4 4 4 4 4 5 5 5 5 -- -- -- </v>
      </c>
    </row>
    <row r="222" spans="1:12">
      <c r="A222" t="s">
        <v>61</v>
      </c>
      <c r="B222" t="str">
        <f>IF(Table2[[#This Row],[drug]]&lt;&gt;A221,Table2[[#This Row],[drug]],"")</f>
        <v/>
      </c>
      <c r="C222">
        <v>10</v>
      </c>
      <c r="D222">
        <v>15</v>
      </c>
      <c r="E222">
        <v>12</v>
      </c>
      <c r="F222">
        <v>36</v>
      </c>
      <c r="G222">
        <v>5</v>
      </c>
      <c r="H222" s="2" t="str">
        <f>CONCATENATE("if(${p_weight_age}&gt;=",Table2[[#This Row],[Min_weight_kg]]," and ${p_weight_age}&lt;",Table2[[#This Row],[Max_weight_kg]],",""",Table2[[#This Row],[rate]],""",",IF(Table2[[#This Row],[drug]]=A223,H223,"""--"""),")")</f>
        <v>if(${p_weight_age}&gt;=10 and ${p_weight_age}&lt;15,"5",if(${p_weight_age}&gt;=15 and ${p_weight_age}&lt;100,"--","--"))</v>
      </c>
      <c r="I222" s="2" t="str">
        <f>CONCATENATE("if(${p_age}&gt;=",Table2[[#This Row],[Min_age_months]]," and ${p_age}&lt;",Table2[[#This Row],[Max_age_months]],",""",Table2[[#This Row],[rate]],""",",IF(Table2[[#This Row],[drug]]=A223,I223,"""--"""),")")</f>
        <v>if(${p_age}&gt;=12 and ${p_age}&lt;36,"5",if(${p_age}&gt;=36 and ${p_age}&lt;100,"--","--"))</v>
      </c>
      <c r="J222" s="2" t="str">
        <f>CONCATENATE("if(${p_weight}&gt;0,",Table2[[#This Row],[Formula weight]],",",Table2[[#This Row],[Formula Age]],")")</f>
        <v>if(${p_weight}&gt;0,if(${p_weight_age}&gt;=10 and ${p_weight_age}&lt;15,"5",if(${p_weight_age}&gt;=15 and ${p_weight_age}&lt;100,"--","--")),if(${p_age}&gt;=12 and ${p_age}&lt;36,"5",if(${p_age}&gt;=36 and ${p_age}&lt;100,"--","--")))</v>
      </c>
      <c r="K222" s="2" t="str">
        <f>GenerateDrugString(Table2[[#This Row],[Min_weight_kg]],Table2[[#This Row],[Max_weight_kg]],Table2[[#This Row],[rate]],Table35[kg])</f>
        <v>5 5 5 5</v>
      </c>
      <c r="L222" s="2" t="str">
        <f>CONCATENATE(Table2[[#This Row],[drugStringLine]],IF(TRIM(Table2[[#This Row],[drugStringLine]])="",""," "),IF(Table2[[#This Row],[drug]]=A223,L223,""))</f>
        <v xml:space="preserve">5 5 5 5 -- -- -- </v>
      </c>
    </row>
    <row r="223" spans="1:12">
      <c r="A223" t="s">
        <v>61</v>
      </c>
      <c r="B223" t="str">
        <f>IF(Table2[[#This Row],[drug]]&lt;&gt;A222,Table2[[#This Row],[drug]],"")</f>
        <v/>
      </c>
      <c r="C223">
        <v>15</v>
      </c>
      <c r="D223">
        <v>100</v>
      </c>
      <c r="E223">
        <v>36</v>
      </c>
      <c r="F223">
        <v>100</v>
      </c>
      <c r="G223" t="s">
        <v>60</v>
      </c>
      <c r="H223" s="2" t="str">
        <f>CONCATENATE("if(${p_weight_age}&gt;=",Table2[[#This Row],[Min_weight_kg]]," and ${p_weight_age}&lt;",Table2[[#This Row],[Max_weight_kg]],",""",Table2[[#This Row],[rate]],""",",IF(Table2[[#This Row],[drug]]=A224,H224,"""--"""),")")</f>
        <v>if(${p_weight_age}&gt;=15 and ${p_weight_age}&lt;100,"--","--")</v>
      </c>
      <c r="I223" s="2" t="str">
        <f>CONCATENATE("if(${p_age}&gt;=",Table2[[#This Row],[Min_age_months]]," and ${p_age}&lt;",Table2[[#This Row],[Max_age_months]],",""",Table2[[#This Row],[rate]],""",",IF(Table2[[#This Row],[drug]]=A224,I224,"""--"""),")")</f>
        <v>if(${p_age}&gt;=36 and ${p_age}&lt;100,"--","--")</v>
      </c>
      <c r="J223" s="2" t="str">
        <f>CONCATENATE("if(${p_weight}&gt;0,",Table2[[#This Row],[Formula weight]],",",Table2[[#This Row],[Formula Age]],")")</f>
        <v>if(${p_weight}&gt;0,if(${p_weight_age}&gt;=15 and ${p_weight_age}&lt;100,"--","--"),if(${p_age}&gt;=36 and ${p_age}&lt;100,"--","--"))</v>
      </c>
      <c r="K223" s="2" t="str">
        <f>GenerateDrugString(Table2[[#This Row],[Min_weight_kg]],Table2[[#This Row],[Max_weight_kg]],Table2[[#This Row],[rate]],Table35[kg])</f>
        <v>-- -- --</v>
      </c>
      <c r="L223" s="2" t="str">
        <f>CONCATENATE(Table2[[#This Row],[drugStringLine]],IF(TRIM(Table2[[#This Row],[drugStringLine]])="",""," "),IF(Table2[[#This Row],[drug]]=A224,L224,""))</f>
        <v xml:space="preserve">-- -- -- </v>
      </c>
    </row>
    <row r="224" spans="1:12">
      <c r="H224" s="2"/>
      <c r="I224" s="2"/>
      <c r="J224" s="2"/>
      <c r="K224" s="2"/>
      <c r="L224" s="2"/>
    </row>
    <row r="225" spans="2:12">
      <c r="B225" s="2"/>
      <c r="H225" s="2"/>
      <c r="I225" s="2"/>
      <c r="J225" s="2"/>
      <c r="K225" s="2"/>
      <c r="L225" s="2"/>
    </row>
    <row r="226" spans="2:12">
      <c r="B226" s="2"/>
      <c r="H226" s="2"/>
      <c r="I226" s="2"/>
      <c r="J226" s="2"/>
      <c r="K226" s="2"/>
      <c r="L226" s="2"/>
    </row>
    <row r="227" spans="2:12">
      <c r="B227" s="2"/>
      <c r="H227" s="2"/>
      <c r="I227" s="2"/>
      <c r="J227" s="2"/>
      <c r="K227" s="2"/>
      <c r="L227" s="2"/>
    </row>
    <row r="228" spans="2:12">
      <c r="B228" s="2"/>
      <c r="H228" s="2"/>
      <c r="I228" s="2"/>
      <c r="J228" s="2"/>
      <c r="K228" s="2"/>
      <c r="L228" s="2"/>
    </row>
    <row r="229" spans="2:12">
      <c r="B229" s="2"/>
      <c r="H229" s="2"/>
      <c r="I229" s="2"/>
      <c r="J229" s="2"/>
      <c r="K229" s="2"/>
      <c r="L229" s="2"/>
    </row>
  </sheetData>
  <conditionalFormatting sqref="A224:L706 A25:L26">
    <cfRule type="expression" dxfId="9" priority="13391">
      <formula>NOT($A25=$A24)</formula>
    </cfRule>
  </conditionalFormatting>
  <conditionalFormatting sqref="A225:J225">
    <cfRule type="expression" dxfId="8" priority="13395">
      <formula>NOT($A225=$A215)</formula>
    </cfRule>
  </conditionalFormatting>
  <conditionalFormatting sqref="A27:L223">
    <cfRule type="expression" dxfId="7" priority="1">
      <formula>NOT($A27=$A26)</formula>
    </cfRule>
  </conditionalFormatting>
  <pageMargins left="0.7" right="0.7" top="0.75" bottom="0.75" header="0.3" footer="0.3"/>
  <pageSetup orientation="portrait" horizontalDpi="200" verticalDpi="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formula</vt:lpstr>
      <vt:lpstr>ageTab</vt:lpstr>
      <vt:lpstr>drugTab</vt:lpstr>
      <vt:lpstr>weightTab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Marder</dc:creator>
  <cp:lastModifiedBy>Patrick Delcroix</cp:lastModifiedBy>
  <cp:revision>69</cp:revision>
  <cp:lastPrinted>2020-09-02T12:09:46Z</cp:lastPrinted>
  <dcterms:created xsi:type="dcterms:W3CDTF">2011-04-25T12:27:36Z</dcterms:created>
  <dcterms:modified xsi:type="dcterms:W3CDTF">2021-09-09T06:45:38Z</dcterms:modified>
</cp:coreProperties>
</file>