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ormula" sheetId="1" state="visible" r:id="rId3"/>
    <sheet name="pillules" sheetId="2" state="visible" r:id="rId4"/>
  </sheets>
  <definedNames>
    <definedName function="false" hidden="false" name="ageTab" vbProcedure="false">formula!$B$2:$B$19</definedName>
    <definedName function="false" hidden="false" name="drugTab" vbProcedure="false">formula!$A$25:$L$224</definedName>
    <definedName function="false" hidden="false" name="weightTab" vbProcedure="false">formula!$B$2:$B$19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<sst xmlns="http://schemas.openxmlformats.org/spreadsheetml/2006/main" count="266" uniqueCount="76">
  <si>
    <t xml:space="preserve">weightclass</t>
  </si>
  <si>
    <t xml:space="preserve">kg</t>
  </si>
  <si>
    <t xml:space="preserve">Column1</t>
  </si>
  <si>
    <t xml:space="preserve">drug</t>
  </si>
  <si>
    <t xml:space="preserve">lookup</t>
  </si>
  <si>
    <t xml:space="preserve">Min_weight_kg</t>
  </si>
  <si>
    <t xml:space="preserve">Max_weight_kg</t>
  </si>
  <si>
    <t xml:space="preserve">Min_age_months</t>
  </si>
  <si>
    <t xml:space="preserve">Max_age_months</t>
  </si>
  <si>
    <t xml:space="preserve">rate</t>
  </si>
  <si>
    <t xml:space="preserve">Formula Age</t>
  </si>
  <si>
    <t xml:space="preserve">complete formula</t>
  </si>
  <si>
    <t xml:space="preserve">drugStringLine</t>
  </si>
  <si>
    <t xml:space="preserve">drugString</t>
  </si>
  <si>
    <t xml:space="preserve">Hydro_A</t>
  </si>
  <si>
    <t xml:space="preserve">50-100</t>
  </si>
  <si>
    <t xml:space="preserve">100-200</t>
  </si>
  <si>
    <t xml:space="preserve">Hydro_B</t>
  </si>
  <si>
    <t xml:space="preserve">200-400</t>
  </si>
  <si>
    <t xml:space="preserve">400-1000</t>
  </si>
  <si>
    <t xml:space="preserve">1000-1200</t>
  </si>
  <si>
    <t xml:space="preserve">1200-1900</t>
  </si>
  <si>
    <t xml:space="preserve">vitA_200000</t>
  </si>
  <si>
    <t xml:space="preserve">1/4</t>
  </si>
  <si>
    <t xml:space="preserve">1/2</t>
  </si>
  <si>
    <t xml:space="preserve">vitA_100000</t>
  </si>
  <si>
    <t xml:space="preserve">vitA_25000</t>
  </si>
  <si>
    <t xml:space="preserve">ruft</t>
  </si>
  <si>
    <t xml:space="preserve">-</t>
  </si>
  <si>
    <t xml:space="preserve">artemether_im_ml</t>
  </si>
  <si>
    <t xml:space="preserve">artesunate_im_ml</t>
  </si>
  <si>
    <t xml:space="preserve">diazepam_ml</t>
  </si>
  <si>
    <t xml:space="preserve">phenobarbital_15_ml</t>
  </si>
  <si>
    <t xml:space="preserve">phenobarbital_5_ml</t>
  </si>
  <si>
    <t xml:space="preserve">zinc_tab</t>
  </si>
  <si>
    <t xml:space="preserve">paracetamol_ml</t>
  </si>
  <si>
    <t xml:space="preserve">paracetamol_tab</t>
  </si>
  <si>
    <t xml:space="preserve">0</t>
  </si>
  <si>
    <t xml:space="preserve">iron_ml</t>
  </si>
  <si>
    <t xml:space="preserve">1.00 (&lt;1/4 c.à.c)</t>
  </si>
  <si>
    <t xml:space="preserve">1.25 (1/4 c.à.c)</t>
  </si>
  <si>
    <t xml:space="preserve">2.00 (&lt;1/2 c.à.c)</t>
  </si>
  <si>
    <t xml:space="preserve">2.5 (1/2 c.à.c)</t>
  </si>
  <si>
    <t xml:space="preserve">iron_tab</t>
  </si>
  <si>
    <t xml:space="preserve">quinine_iv_ml</t>
  </si>
  <si>
    <t xml:space="preserve">artesunate_iv_ml</t>
  </si>
  <si>
    <t xml:space="preserve">artesunate_rectal_100</t>
  </si>
  <si>
    <t xml:space="preserve">as_100_aq_270_tab</t>
  </si>
  <si>
    <t xml:space="preserve">as_50_aq_135_tab</t>
  </si>
  <si>
    <t xml:space="preserve">as_25_aq_67_tab</t>
  </si>
  <si>
    <t xml:space="preserve">am_lu_tab</t>
  </si>
  <si>
    <t xml:space="preserve">gentamicin_ml</t>
  </si>
  <si>
    <t xml:space="preserve">ceftriaxon_80_ml</t>
  </si>
  <si>
    <t xml:space="preserve">ceftriaxon_100_ml</t>
  </si>
  <si>
    <t xml:space="preserve">erythromycin_ml</t>
  </si>
  <si>
    <t xml:space="preserve">erythromycin_tab</t>
  </si>
  <si>
    <t xml:space="preserve">--</t>
  </si>
  <si>
    <t xml:space="preserve">ciprofloxacin_tab</t>
  </si>
  <si>
    <t xml:space="preserve">penicillin_ml</t>
  </si>
  <si>
    <t xml:space="preserve">penicillin_tab</t>
  </si>
  <si>
    <t xml:space="preserve">cotrimoxazole_ml</t>
  </si>
  <si>
    <t xml:space="preserve">cotrimoxazole_tab</t>
  </si>
  <si>
    <t xml:space="preserve">ampicillin_ml</t>
  </si>
  <si>
    <t xml:space="preserve">amoxicillin_40_ml</t>
  </si>
  <si>
    <t xml:space="preserve">amoxicillin_40_tab</t>
  </si>
  <si>
    <t xml:space="preserve">amoxicillin_25_ml</t>
  </si>
  <si>
    <t xml:space="preserve">amoxicillin_25_tab</t>
  </si>
  <si>
    <t xml:space="preserve">1+1/2</t>
  </si>
  <si>
    <t xml:space="preserve">2+1/5</t>
  </si>
  <si>
    <t xml:space="preserve">azithromycin_tab</t>
  </si>
  <si>
    <t xml:space="preserve">azithromycin_ml</t>
  </si>
  <si>
    <t xml:space="preserve">Quart de pillule</t>
  </si>
  <si>
    <t xml:space="preserve">Dose</t>
  </si>
  <si>
    <t xml:space="preserve">dosage pillule</t>
  </si>
  <si>
    <t xml:space="preserve">Min</t>
  </si>
  <si>
    <t xml:space="preserve">dose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</si>
</sst>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d\-mmm"/>
    <numFmt numFmtId="167" formatCode="0%"/>
    <numFmt numFmtId="168" formatCode="\ * #,##0.00\ ;\ * \-#,##0.00\ ;\ * \-#\ ;\ @\ "/>
  </numFmts>
  <fonts count="6">
    <font>
      <sz val="12"/>
      <color rgb="FF000000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Arial"/>
      <family val="2"/>
    </font>
    <font>
      <b val="true"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B9CDE5"/>
        <bgColor rgb="FF99CCFF"/>
      </patternFill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</fills>
  <borders count="1">
    <border diagonalUp="false" diagonalDown="false">
      <left/>
      <right/>
      <top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4" borderId="0" xfId="2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4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Group" xfId="20"/>
    <cellStyle name="Normal 2" xfId="21"/>
  </cellStyles>
  <dxfs count="7">
    <dxf>
      <fill>
        <patternFill patternType="solid">
          <fgColor rgb="FF92D05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FFFFFF"/>
          <bgColor rgb="FF404040"/>
        </patternFill>
      </fill>
    </dxf>
    <dxf>
      <fill>
        <patternFill patternType="solid">
          <fgColor rgb="FFD9D9D9"/>
        </patternFill>
      </fill>
    </dxf>
    <dxf>
      <font>
        <name val="Calibri"/>
        <family val="2"/>
        <color rgb="00FFFFFF"/>
        <sz val="12"/>
      </font>
      <fill>
        <patternFill>
          <bgColor rgb="FF92D050"/>
        </patternFill>
      </fill>
      <border diagonalUp="false" diagonalDown="false">
        <left/>
        <right/>
        <top style="thin"/>
        <bottom/>
        <diagonal/>
      </border>
    </dxf>
    <dxf>
      <font>
        <name val="Calibri"/>
        <family val="2"/>
        <color rgb="00FFFFFF"/>
        <sz val="12"/>
      </font>
      <fill>
        <patternFill>
          <bgColor rgb="FF92D050"/>
        </patternFill>
      </fill>
      <border diagonalUp="false" diagonalDown="false">
        <left/>
        <right/>
        <top style="thin"/>
        <bottom/>
        <diagonal/>
      </border>
    </dxf>
    <dxf>
      <font>
        <name val="Calibri"/>
        <family val="2"/>
        <color rgb="00FFFFFF"/>
        <sz val="12"/>
      </font>
      <fill>
        <patternFill>
          <bgColor rgb="FF92D050"/>
        </patternFill>
      </fill>
      <border diagonalUp="false" diagonalDown="false">
        <left/>
        <right/>
        <top style="thin"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le2" displayName="Table2" ref="A24:L224" headerRowCount="1" totalsRowCount="0" totalsRowShown="0">
  <autoFilter ref="A24:L224"/>
  <tableColumns count="12">
    <tableColumn id="1" name="drug"/>
    <tableColumn id="2" name="lookup"/>
    <tableColumn id="3" name="Min_weight_kg"/>
    <tableColumn id="4" name="Max_weight_kg"/>
    <tableColumn id="5" name="Min_age_months"/>
    <tableColumn id="6" name="Max_age_months"/>
    <tableColumn id="7" name="rate"/>
    <tableColumn id="8" name="Column8"/>
    <tableColumn id="9" name="Formula Age"/>
    <tableColumn id="10" name="complete formula"/>
    <tableColumn id="11" name="drugStringLine"/>
    <tableColumn id="12" name="drugString"/>
  </tableColumns>
</table>
</file>

<file path=xl/tables/table2.xml><?xml version="1.0" encoding="utf-8"?>
<table xmlns="http://schemas.openxmlformats.org/spreadsheetml/2006/main" id="2" name="Table35" displayName="Table35" ref="A1:C19" headerRowCount="1" totalsRowCount="0" totalsRowShown="0">
  <autoFilter ref="A1:C19"/>
  <tableColumns count="3">
    <tableColumn id="1" name="weightclass"/>
    <tableColumn id="2" name="kg"/>
    <tableColumn id="3" name="Column1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229"/>
  <sheetViews>
    <sheetView showFormulas="false" showGridLines="true" showRowColHeaders="true" showZeros="true" rightToLeft="false" tabSelected="true" showOutlineSymbols="true" defaultGridColor="true" view="normal" topLeftCell="A26" colorId="64" zoomScale="175" zoomScaleNormal="175" zoomScalePageLayoutView="100" workbookViewId="0">
      <selection pane="topLeft" activeCell="D35" activeCellId="0" sqref="D35"/>
    </sheetView>
  </sheetViews>
  <sheetFormatPr defaultColWidth="8.4921875" defaultRowHeight="15" zeroHeight="false" outlineLevelRow="0" outlineLevelCol="0"/>
  <cols>
    <col collapsed="false" customWidth="true" hidden="false" outlineLevel="0" max="1" min="1" style="0" width="20.5"/>
    <col collapsed="false" customWidth="true" hidden="false" outlineLevel="0" max="2" min="2" style="0" width="17.59"/>
    <col collapsed="false" customWidth="true" hidden="false" outlineLevel="0" max="3" min="3" style="0" width="3.7"/>
    <col collapsed="false" customWidth="true" hidden="false" outlineLevel="0" max="4" min="4" style="0" width="4"/>
    <col collapsed="false" customWidth="true" hidden="false" outlineLevel="0" max="5" min="5" style="0" width="3.4"/>
    <col collapsed="false" customWidth="true" hidden="false" outlineLevel="0" max="6" min="6" style="0" width="3.5"/>
    <col collapsed="false" customWidth="true" hidden="false" outlineLevel="0" max="7" min="7" style="0" width="11.7"/>
    <col collapsed="false" customWidth="true" hidden="false" outlineLevel="0" max="8" min="8" style="0" width="13.4"/>
    <col collapsed="false" customWidth="true" hidden="false" outlineLevel="0" max="9" min="9" style="0" width="11"/>
    <col collapsed="false" customWidth="true" hidden="false" outlineLevel="0" max="11" min="11" style="0" width="1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G1" s="0" t="str">
        <f aca="false">CONCATENATE("if(${patient_conf}=1,",C2,",0)")</f>
        <v>if(${patient_conf}=1,if(${p_weight_age}&gt;=0 and ${p_weight_age}&lt;3,0,if(${p_weight_age}&gt;=3 and ${p_weight_age}&lt;3.5,1,if(${p_weight_age}&gt;=3.5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${p_weight_age}&lt;99,16,0))))))))))))))))),0)</v>
      </c>
    </row>
    <row r="2" customFormat="false" ht="15" hidden="false" customHeight="false" outlineLevel="0" collapsed="false">
      <c r="A2" s="0" t="n">
        <v>0</v>
      </c>
      <c r="B2" s="0" t="n">
        <v>0</v>
      </c>
      <c r="C2" s="2" t="str">
        <f aca="false">CONCATENATE("if(${p_weight_age}&gt;=",formula!$B2," and ${p_weight_age}&lt;",B3,",",formula!$A2,",",IF(A3="",0,C3),")")</f>
        <v>if(${p_weight_age}&gt;=0 and ${p_weight_age}&lt;3,0,if(${p_weight_age}&gt;=3 and ${p_weight_age}&lt;3.5,1,if(${p_weight_age}&gt;=3.5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${p_weight_age}&lt;99,16,0)))))))))))))))))</v>
      </c>
    </row>
    <row r="3" customFormat="false" ht="15" hidden="false" customHeight="false" outlineLevel="0" collapsed="false">
      <c r="A3" s="0" t="n">
        <v>1</v>
      </c>
      <c r="B3" s="0" t="n">
        <v>3</v>
      </c>
      <c r="C3" s="0" t="str">
        <f aca="false">CONCATENATE("if(${p_weight_age}&gt;=",formula!$B3," and ${p_weight_age}&lt;",B4,",",formula!$A3,",",IF(A4="",0,C4),")")</f>
        <v>if(${p_weight_age}&gt;=3 and ${p_weight_age}&lt;3.5,1,if(${p_weight_age}&gt;=3.5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${p_weight_age}&lt;99,16,0))))))))))))))))</v>
      </c>
    </row>
    <row r="4" customFormat="false" ht="15" hidden="false" customHeight="false" outlineLevel="0" collapsed="false">
      <c r="A4" s="0" t="n">
        <v>2</v>
      </c>
      <c r="B4" s="0" t="n">
        <v>3.5</v>
      </c>
      <c r="C4" s="0" t="str">
        <f aca="false">CONCATENATE("if(${p_weight_age}&gt;=",formula!$B4," and ${p_weight_age}&lt;",B5,",",formula!$A4,",",IF(A5="",0,C5),")")</f>
        <v>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</v>
      </c>
    </row>
    <row r="5" customFormat="false" ht="15" hidden="false" customHeight="false" outlineLevel="0" collapsed="false">
      <c r="A5" s="0" t="n">
        <v>3</v>
      </c>
      <c r="B5" s="0" t="n">
        <v>4</v>
      </c>
      <c r="C5" s="0" t="str">
        <f aca="false">CONCATENATE("if(${p_weight_age}&gt;=",formula!$B5," and ${p_weight_age}&lt;",B6,",",formula!$A5,",",IF(A6="",0,C6),")")</f>
        <v>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</v>
      </c>
    </row>
    <row r="6" customFormat="false" ht="15" hidden="false" customHeight="false" outlineLevel="0" collapsed="false">
      <c r="A6" s="0" t="n">
        <v>4</v>
      </c>
      <c r="B6" s="0" t="n">
        <v>4.5</v>
      </c>
      <c r="C6" s="0" t="str">
        <f aca="false">CONCATENATE("if(${p_weight_age}&gt;=",formula!$B6," and ${p_weight_age}&lt;",B7,",",formula!$A6,",",IF(A7="",0,C7),")")</f>
        <v>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</v>
      </c>
    </row>
    <row r="7" customFormat="false" ht="15" hidden="false" customHeight="false" outlineLevel="0" collapsed="false">
      <c r="A7" s="0" t="n">
        <v>5</v>
      </c>
      <c r="B7" s="0" t="n">
        <v>5</v>
      </c>
      <c r="C7" s="0" t="str">
        <f aca="false">CONCATENATE("if(${p_weight_age}&gt;=",formula!$B7," and ${p_weight_age}&lt;",B8,",",formula!$A7,",",IF(A8="",0,C8),")")</f>
        <v>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</v>
      </c>
    </row>
    <row r="8" customFormat="false" ht="15" hidden="false" customHeight="false" outlineLevel="0" collapsed="false">
      <c r="A8" s="0" t="n">
        <v>6</v>
      </c>
      <c r="B8" s="0" t="n">
        <v>6</v>
      </c>
      <c r="C8" s="0" t="str">
        <f aca="false">CONCATENATE("if(${p_weight_age}&gt;=",formula!$B8," and ${p_weight_age}&lt;",B9,",",formula!$A8,",",IF(A9="",0,C9),")")</f>
        <v>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</v>
      </c>
    </row>
    <row r="9" customFormat="false" ht="15" hidden="false" customHeight="false" outlineLevel="0" collapsed="false">
      <c r="A9" s="0" t="n">
        <v>7</v>
      </c>
      <c r="B9" s="0" t="n">
        <v>7</v>
      </c>
      <c r="C9" s="0" t="str">
        <f aca="false">CONCATENATE("if(${p_weight_age}&gt;=",formula!$B9," and ${p_weight_age}&lt;",B10,",",formula!$A9,",",IF(A10="",0,C10),")")</f>
        <v>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</v>
      </c>
    </row>
    <row r="10" customFormat="false" ht="15" hidden="false" customHeight="false" outlineLevel="0" collapsed="false">
      <c r="A10" s="0" t="n">
        <v>8</v>
      </c>
      <c r="B10" s="0" t="n">
        <v>8</v>
      </c>
      <c r="C10" s="0" t="str">
        <f aca="false">CONCATENATE("if(${p_weight_age}&gt;=",formula!$B10," and ${p_weight_age}&lt;",B11,",",formula!$A10,",",IF(A11="",0,C11),")")</f>
        <v>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</v>
      </c>
    </row>
    <row r="11" customFormat="false" ht="15" hidden="false" customHeight="false" outlineLevel="0" collapsed="false">
      <c r="A11" s="0" t="n">
        <v>9</v>
      </c>
      <c r="B11" s="0" t="n">
        <v>8.5</v>
      </c>
      <c r="C11" s="0" t="str">
        <f aca="false">CONCATENATE("if(${p_weight_age}&gt;=",formula!$B11," and ${p_weight_age}&lt;",B12,",",formula!$A11,",",IF(A12="",0,C12),")")</f>
        <v>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</v>
      </c>
    </row>
    <row r="12" customFormat="false" ht="15" hidden="false" customHeight="false" outlineLevel="0" collapsed="false">
      <c r="A12" s="0" t="n">
        <v>10</v>
      </c>
      <c r="B12" s="0" t="n">
        <v>9.5</v>
      </c>
      <c r="C12" s="0" t="str">
        <f aca="false">CONCATENATE("if(${p_weight_age}&gt;=",formula!$B12," and ${p_weight_age}&lt;",B13,",",formula!$A12,",",IF(A13="",0,C13),")")</f>
        <v>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</v>
      </c>
    </row>
    <row r="13" customFormat="false" ht="15" hidden="false" customHeight="false" outlineLevel="0" collapsed="false">
      <c r="A13" s="0" t="n">
        <v>11</v>
      </c>
      <c r="B13" s="0" t="n">
        <v>10</v>
      </c>
      <c r="C13" s="0" t="str">
        <f aca="false">CONCATENATE("if(${p_weight_age}&gt;=",formula!$B13," and ${p_weight_age}&lt;",B14,",",formula!$A13,",",IF(A14="",0,C14),")")</f>
        <v>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</v>
      </c>
    </row>
    <row r="14" customFormat="false" ht="15" hidden="false" customHeight="false" outlineLevel="0" collapsed="false">
      <c r="A14" s="0" t="n">
        <v>12</v>
      </c>
      <c r="B14" s="0" t="n">
        <v>10.5</v>
      </c>
      <c r="C14" s="0" t="str">
        <f aca="false">CONCATENATE("if(${p_weight_age}&gt;=",formula!$B14," and ${p_weight_age}&lt;",B15,",",formula!$A14,",",IF(A15="",0,C15),")")</f>
        <v>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</v>
      </c>
    </row>
    <row r="15" customFormat="false" ht="15" hidden="false" customHeight="false" outlineLevel="0" collapsed="false">
      <c r="A15" s="0" t="n">
        <v>13</v>
      </c>
      <c r="B15" s="0" t="n">
        <v>12</v>
      </c>
      <c r="C15" s="0" t="str">
        <f aca="false">CONCATENATE("if(${p_weight_age}&gt;=",formula!$B15," and ${p_weight_age}&lt;",B16,",",formula!$A15,",",IF(A16="",0,C16),")")</f>
        <v>if(${p_weight_age}&gt;=12 and ${p_weight_age}&lt;14,13,if(${p_weight_age}&gt;=14 and ${p_weight_age}&lt;15,14,if(${p_weight_age}&gt;=15 and ${p_weight_age}&lt;20,15,if(${p_weight_age}&gt;=20 and ${p_weight_age}&lt;99,16,0))))</v>
      </c>
    </row>
    <row r="16" customFormat="false" ht="15" hidden="false" customHeight="false" outlineLevel="0" collapsed="false">
      <c r="A16" s="0" t="n">
        <v>14</v>
      </c>
      <c r="B16" s="0" t="n">
        <v>14</v>
      </c>
      <c r="C16" s="0" t="str">
        <f aca="false">CONCATENATE("if(${p_weight_age}&gt;=",formula!$B16," and ${p_weight_age}&lt;",B17,",",formula!$A16,",",IF(A17="",0,C17),")")</f>
        <v>if(${p_weight_age}&gt;=14 and ${p_weight_age}&lt;15,14,if(${p_weight_age}&gt;=15 and ${p_weight_age}&lt;20,15,if(${p_weight_age}&gt;=20 and ${p_weight_age}&lt;99,16,0)))</v>
      </c>
    </row>
    <row r="17" customFormat="false" ht="15" hidden="false" customHeight="false" outlineLevel="0" collapsed="false">
      <c r="A17" s="0" t="n">
        <v>15</v>
      </c>
      <c r="B17" s="0" t="n">
        <v>15</v>
      </c>
      <c r="C17" s="0" t="str">
        <f aca="false">CONCATENATE("if(${p_weight_age}&gt;=",formula!$B17," and ${p_weight_age}&lt;",B18,",",formula!$A17,",",IF(A18="",0,C18),")")</f>
        <v>if(${p_weight_age}&gt;=15 and ${p_weight_age}&lt;20,15,if(${p_weight_age}&gt;=20 and ${p_weight_age}&lt;99,16,0))</v>
      </c>
    </row>
    <row r="18" customFormat="false" ht="15" hidden="false" customHeight="false" outlineLevel="0" collapsed="false">
      <c r="A18" s="0" t="n">
        <v>16</v>
      </c>
      <c r="B18" s="0" t="n">
        <v>20</v>
      </c>
      <c r="C18" s="0" t="str">
        <f aca="false">CONCATENATE("if(${p_weight_age}&gt;=",formula!$B18," and ${p_weight_age}&lt;",B19,",",formula!$A18,",",IF(A19="",0,C19),")")</f>
        <v>if(${p_weight_age}&gt;=20 and ${p_weight_age}&lt;99,16,0)</v>
      </c>
    </row>
    <row r="19" customFormat="false" ht="15" hidden="false" customHeight="false" outlineLevel="0" collapsed="false">
      <c r="B19" s="0" t="n">
        <v>99</v>
      </c>
      <c r="C19" s="2" t="str">
        <f aca="false">CONCATENATE("if(${p_weight_age}&gt;=",formula!$B19," and ${p_weight_age}&lt;",B20,",",formula!$A19,",",IF(A20="",0,C20),")")</f>
        <v>if(${p_weight_age}&gt;=99 and ${p_weight_age}&lt;,,0)</v>
      </c>
    </row>
    <row r="22" customFormat="false" ht="15" hidden="false" customHeight="false" outlineLevel="0" collapsed="false">
      <c r="A22" s="0" t="str">
        <f aca="false">INDEX(Table2,1,0)</f>
        <v>drug</v>
      </c>
    </row>
    <row r="24" customFormat="false" ht="15" hidden="false" customHeight="false" outlineLevel="0" collapsed="false">
      <c r="A24" s="1" t="s">
        <v>3</v>
      </c>
      <c r="B24" s="1" t="s">
        <v>4</v>
      </c>
      <c r="C24" s="3" t="s">
        <v>5</v>
      </c>
      <c r="D24" s="3" t="s">
        <v>6</v>
      </c>
      <c r="E24" s="3" t="s">
        <v>7</v>
      </c>
      <c r="F24" s="3" t="s">
        <v>8</v>
      </c>
      <c r="G24" s="1" t="s">
        <v>9</v>
      </c>
      <c r="H24" s="1"/>
      <c r="I24" s="1" t="s">
        <v>10</v>
      </c>
      <c r="J24" s="1" t="s">
        <v>11</v>
      </c>
      <c r="K24" s="1" t="s">
        <v>12</v>
      </c>
      <c r="L24" s="1" t="s">
        <v>13</v>
      </c>
    </row>
    <row r="25" customFormat="false" ht="15.75" hidden="true" customHeight="true" outlineLevel="0" collapsed="false">
      <c r="B25" s="0" t="e">
        <f aca="false">IF(formula!$A25&lt;&gt;#REF!,formula!$A25,"")</f>
        <v>#REF!</v>
      </c>
      <c r="H25" s="2" t="str">
        <f aca="false">CONCATENATE("if(${p_weight_age}&gt;=",formula!$C25," and ${p_weight_age}&lt;",formula!$D25,",""",formula!$G25,""",",IF(formula!$A25=A26,H26,"""--"""),")")</f>
        <v>if(${p_weight_age}&gt;= and ${p_weight_age}&lt;,"","--")</v>
      </c>
      <c r="I25" s="2" t="str">
        <f aca="false">CONCATENATE("if(${p_age}&gt;=",formula!$E25," and ${p_age}&lt;",formula!$F25,",""",formula!$G25,""",",IF(formula!$A25=A26,I26,"""--"""),")")</f>
        <v>if(${p_age}&gt;= and ${p_age}&lt;,"","--")</v>
      </c>
      <c r="J25" s="2" t="str">
        <f aca="false">CONCATENATE("if(${p_weight}&gt;0,",formula!$H25,",",formula!$I25,")")</f>
        <v>if(${p_weight}&gt;0,if(${p_weight_age}&gt;= and ${p_weight_age}&lt;,"","--"),if(${p_age}&gt;= and ${p_age}&lt;,"","--"))</v>
      </c>
      <c r="K25" s="2" t="e">
        <f aca="false">GENERATEDRUGSTRING(formula!$C25,formula!$D25,formula!$G25,formula!$B$2:$B$19)</f>
        <v>#VALUE!</v>
      </c>
      <c r="L25" s="2" t="e">
        <f aca="false">CONCATENATE(formula!$K25,IF(TRIM(formula!$K25)="",""," "),IF(formula!$A25=A26,L26,""))</f>
        <v>#VALUE!</v>
      </c>
    </row>
    <row r="26" customFormat="false" ht="15.65" hidden="false" customHeight="false" outlineLevel="0" collapsed="false">
      <c r="A26" s="0" t="s">
        <v>14</v>
      </c>
      <c r="B26" s="0" t="str">
        <f aca="false">IF(formula!$A26&lt;&gt;A25,formula!$A26,"")</f>
        <v>Hydro_A</v>
      </c>
      <c r="E26" s="0" t="n">
        <v>2</v>
      </c>
      <c r="F26" s="0" t="n">
        <v>24</v>
      </c>
      <c r="G26" s="0" t="s">
        <v>15</v>
      </c>
      <c r="H26" s="2" t="str">
        <f aca="false">_xlfn.CONCAT(C26,":'",G26,"',")</f>
        <v>:'50-100',</v>
      </c>
      <c r="I26" s="2" t="str">
        <f aca="false">_xlfn.CONCAT(E26,":'",G26,"',")</f>
        <v>2:'50-100',</v>
      </c>
      <c r="J26" s="2" t="str">
        <f aca="false">CONCATENATE("if(${p_weight}&gt;0,",formula!$H26,",",formula!$I26,")")</f>
        <v>if(${p_weight}&gt;0,:'50-100',,2:'50-100',)</v>
      </c>
      <c r="K26" s="2" t="e">
        <f aca="false">GENERATEDRUGSTRING(formula!$C26,formula!$D26,formula!$G26,formula!$B$2:$B$19)</f>
        <v>#VALUE!</v>
      </c>
      <c r="L26" s="2" t="e">
        <f aca="false">CONCATENATE(formula!$K26,IF(TRIM(formula!$K26)="",""," "),IF(formula!$A26=A27,L27,""))</f>
        <v>#VALUE!</v>
      </c>
    </row>
    <row r="27" customFormat="false" ht="15.65" hidden="false" customHeight="false" outlineLevel="0" collapsed="false">
      <c r="A27" s="1" t="s">
        <v>14</v>
      </c>
      <c r="B27" s="1" t="str">
        <f aca="false">IF(formula!$A27&lt;&gt;A26,formula!$A27,"")</f>
        <v/>
      </c>
      <c r="C27" s="1"/>
      <c r="D27" s="1"/>
      <c r="E27" s="1" t="n">
        <v>24</v>
      </c>
      <c r="F27" s="1" t="n">
        <v>61</v>
      </c>
      <c r="G27" s="1" t="s">
        <v>16</v>
      </c>
      <c r="H27" s="2" t="str">
        <f aca="false">_xlfn.CONCAT(C27,":'",G27,"',")</f>
        <v>:'100-200',</v>
      </c>
      <c r="I27" s="2" t="str">
        <f aca="false">_xlfn.CONCAT(E27,":'",G27,"',")</f>
        <v>24:'100-200',</v>
      </c>
      <c r="J27" s="2" t="str">
        <f aca="false">CONCATENATE("if(${p_weight}&gt;0,",formula!$H27,",",formula!$I27,")")</f>
        <v>if(${p_weight}&gt;0,:'100-200',,24:'100-200',)</v>
      </c>
      <c r="K27" s="2" t="e">
        <f aca="false">GENERATEDRUGSTRING(formula!$C27,formula!$D27,formula!$G27,formula!$B$2:$B$19)</f>
        <v>#VALUE!</v>
      </c>
      <c r="L27" s="2" t="e">
        <f aca="false">CONCATENATE(formula!$K27,IF(TRIM(formula!$K27)="",""," "),IF(formula!$A27=A28,L28,""))</f>
        <v>#VALUE!</v>
      </c>
    </row>
    <row r="28" customFormat="false" ht="15.65" hidden="false" customHeight="false" outlineLevel="0" collapsed="false">
      <c r="A28" s="1" t="s">
        <v>17</v>
      </c>
      <c r="B28" s="1" t="str">
        <f aca="false">IF(formula!$A28&lt;&gt;A27,formula!$A28,"")</f>
        <v>Hydro_B</v>
      </c>
      <c r="C28" s="1"/>
      <c r="D28" s="1"/>
      <c r="E28" s="1" t="n">
        <v>0</v>
      </c>
      <c r="F28" s="1" t="n">
        <v>4</v>
      </c>
      <c r="G28" s="1" t="s">
        <v>18</v>
      </c>
      <c r="H28" s="2" t="str">
        <f aca="false">_xlfn.CONCAT(C28,":'",G28,"',")</f>
        <v>:'200-400',</v>
      </c>
      <c r="I28" s="2" t="str">
        <f aca="false">_xlfn.CONCAT(E28,":'",G28,"',")</f>
        <v>0:'200-400',</v>
      </c>
      <c r="J28" s="2" t="str">
        <f aca="false">CONCATENATE("if(${p_weight}&gt;0,",formula!$H28,",",formula!$I28,")")</f>
        <v>if(${p_weight}&gt;0,:'200-400',,0:'200-400',)</v>
      </c>
      <c r="K28" s="2" t="e">
        <f aca="false">GENERATEDRUGSTRING(formula!$C28,formula!$D28,formula!$G28,formula!$B$2:$B$19)</f>
        <v>#VALUE!</v>
      </c>
      <c r="L28" s="2" t="e">
        <f aca="false">CONCATENATE(formula!$K28,IF(TRIM(formula!$K28)="",""," "),IF(formula!$A28=A29,L29,""))</f>
        <v>#VALUE!</v>
      </c>
    </row>
    <row r="29" customFormat="false" ht="15.65" hidden="false" customHeight="false" outlineLevel="0" collapsed="false">
      <c r="A29" s="1" t="s">
        <v>17</v>
      </c>
      <c r="B29" s="1" t="str">
        <f aca="false">IF(formula!$A29&lt;&gt;A28,formula!$A29,"")</f>
        <v/>
      </c>
      <c r="C29" s="1"/>
      <c r="D29" s="1"/>
      <c r="E29" s="1" t="n">
        <v>4</v>
      </c>
      <c r="F29" s="1" t="n">
        <v>12</v>
      </c>
      <c r="G29" s="1" t="s">
        <v>19</v>
      </c>
      <c r="H29" s="2" t="str">
        <f aca="false">_xlfn.CONCAT(C29,":'",G29,"',")</f>
        <v>:'400-1000',</v>
      </c>
      <c r="I29" s="2" t="str">
        <f aca="false">_xlfn.CONCAT(E29,":'",G29,"',")</f>
        <v>4:'400-1000',</v>
      </c>
      <c r="J29" s="2" t="str">
        <f aca="false">CONCATENATE("if(${p_weight}&gt;0,",formula!$H29,",",formula!$I29,")")</f>
        <v>if(${p_weight}&gt;0,:'400-1000',,4:'400-1000',)</v>
      </c>
      <c r="K29" s="2" t="e">
        <f aca="false">GENERATEDRUGSTRING(formula!$C29,formula!$D29,formula!$G29,formula!$B$2:$B$19)</f>
        <v>#VALUE!</v>
      </c>
      <c r="L29" s="2" t="e">
        <f aca="false">CONCATENATE(formula!$K29,IF(TRIM(formula!$K29)="",""," "),IF(formula!$A29=A30,L30,""))</f>
        <v>#VALUE!</v>
      </c>
    </row>
    <row r="30" customFormat="false" ht="15.65" hidden="false" customHeight="false" outlineLevel="0" collapsed="false">
      <c r="A30" s="1" t="s">
        <v>17</v>
      </c>
      <c r="B30" s="1" t="str">
        <f aca="false">IF(formula!$A30&lt;&gt;A29,formula!$A30,"")</f>
        <v/>
      </c>
      <c r="C30" s="1"/>
      <c r="D30" s="1"/>
      <c r="E30" s="1" t="n">
        <v>12</v>
      </c>
      <c r="F30" s="1" t="n">
        <v>24</v>
      </c>
      <c r="G30" s="1" t="s">
        <v>20</v>
      </c>
      <c r="H30" s="2" t="str">
        <f aca="false">_xlfn.CONCAT(C30,":'",G30,"',")</f>
        <v>:'1000-1200',</v>
      </c>
      <c r="I30" s="2" t="str">
        <f aca="false">_xlfn.CONCAT(E30,":'",G30,"',")</f>
        <v>12:'1000-1200',</v>
      </c>
      <c r="J30" s="2" t="str">
        <f aca="false">CONCATENATE("if(${p_weight}&gt;0,",formula!$H30,",",formula!$I30,")")</f>
        <v>if(${p_weight}&gt;0,:'1000-1200',,12:'1000-1200',)</v>
      </c>
      <c r="K30" s="2" t="e">
        <f aca="false">GENERATEDRUGSTRING(formula!$C30,formula!$D30,formula!$G30,formula!$B$2:$B$19)</f>
        <v>#VALUE!</v>
      </c>
      <c r="L30" s="2" t="e">
        <f aca="false">CONCATENATE(formula!$K30,IF(TRIM(formula!$K30)="",""," "),IF(formula!$A30=A31,L31,""))</f>
        <v>#VALUE!</v>
      </c>
    </row>
    <row r="31" customFormat="false" ht="15.65" hidden="false" customHeight="false" outlineLevel="0" collapsed="false">
      <c r="A31" s="1" t="s">
        <v>17</v>
      </c>
      <c r="B31" s="1" t="str">
        <f aca="false">IF(formula!$A31&lt;&gt;A30,formula!$A31,"")</f>
        <v/>
      </c>
      <c r="C31" s="1"/>
      <c r="D31" s="1"/>
      <c r="E31" s="1" t="n">
        <v>24</v>
      </c>
      <c r="F31" s="1" t="n">
        <v>61</v>
      </c>
      <c r="G31" s="1" t="s">
        <v>21</v>
      </c>
      <c r="H31" s="2" t="str">
        <f aca="false">_xlfn.CONCAT(C31,":'",G31,"',")</f>
        <v>:'1200-1900',</v>
      </c>
      <c r="I31" s="2" t="str">
        <f aca="false">_xlfn.CONCAT(E31,":'",G31,"',")</f>
        <v>24:'1200-1900',</v>
      </c>
      <c r="J31" s="2" t="str">
        <f aca="false">CONCATENATE("if(${p_weight}&gt;0,",formula!$H31,",",formula!$I31,")")</f>
        <v>if(${p_weight}&gt;0,:'1200-1900',,24:'1200-1900',)</v>
      </c>
      <c r="K31" s="2" t="e">
        <f aca="false">GENERATEDRUGSTRING(formula!$C31,formula!$D31,formula!$G31,formula!$B$2:$B$19)</f>
        <v>#VALUE!</v>
      </c>
      <c r="L31" s="2" t="e">
        <f aca="false">CONCATENATE(formula!$K31,IF(TRIM(formula!$K31)="",""," "),IF(formula!$A31=A32,L32,""))</f>
        <v>#VALUE!</v>
      </c>
    </row>
    <row r="32" customFormat="false" ht="15.65" hidden="false" customHeight="false" outlineLevel="0" collapsed="false">
      <c r="A32" s="1" t="s">
        <v>22</v>
      </c>
      <c r="B32" s="1" t="str">
        <f aca="false">IF(formula!$A32&lt;&gt;A31,formula!$A32,"")</f>
        <v>vitA_200000</v>
      </c>
      <c r="C32" s="1"/>
      <c r="D32" s="1"/>
      <c r="E32" s="1" t="n">
        <v>0</v>
      </c>
      <c r="F32" s="1" t="n">
        <v>6</v>
      </c>
      <c r="G32" s="1" t="s">
        <v>23</v>
      </c>
      <c r="H32" s="2" t="str">
        <f aca="false">_xlfn.CONCAT(C32,":'",G32,"',")</f>
        <v>:'1/4',</v>
      </c>
      <c r="I32" s="2" t="str">
        <f aca="false">_xlfn.CONCAT(E32,":'",G32,"',")</f>
        <v>0:'1/4',</v>
      </c>
      <c r="J32" s="2" t="str">
        <f aca="false">CONCATENATE("if(${p_weight}&gt;0,",formula!$H32,",",formula!$I32,")")</f>
        <v>if(${p_weight}&gt;0,:'1/4',,0:'1/4',)</v>
      </c>
      <c r="K32" s="2" t="e">
        <f aca="false">GENERATEDRUGSTRING(formula!$C32,formula!$D32,formula!$G32,formula!$B$2:$B$19)</f>
        <v>#VALUE!</v>
      </c>
      <c r="L32" s="2" t="e">
        <f aca="false">CONCATENATE(formula!$K32,IF(TRIM(formula!$K32)="",""," "),IF(formula!$A32=A33,L33,""))</f>
        <v>#VALUE!</v>
      </c>
    </row>
    <row r="33" customFormat="false" ht="15.65" hidden="false" customHeight="false" outlineLevel="0" collapsed="false">
      <c r="A33" s="1" t="s">
        <v>22</v>
      </c>
      <c r="B33" s="1" t="str">
        <f aca="false">IF(formula!$A33&lt;&gt;A32,formula!$A33,"")</f>
        <v/>
      </c>
      <c r="C33" s="1"/>
      <c r="D33" s="1"/>
      <c r="E33" s="1" t="n">
        <v>6</v>
      </c>
      <c r="F33" s="1" t="n">
        <v>12</v>
      </c>
      <c r="G33" s="1" t="s">
        <v>24</v>
      </c>
      <c r="H33" s="2" t="str">
        <f aca="false">_xlfn.CONCAT(C33,":'",G33,"',")</f>
        <v>:'1/2',</v>
      </c>
      <c r="I33" s="2" t="str">
        <f aca="false">_xlfn.CONCAT(E33,":'",G33,"',")</f>
        <v>6:'1/2',</v>
      </c>
      <c r="J33" s="2" t="str">
        <f aca="false">CONCATENATE("if(${p_weight}&gt;0,",formula!$H33,",",formula!$I33,")")</f>
        <v>if(${p_weight}&gt;0,:'1/2',,6:'1/2',)</v>
      </c>
      <c r="K33" s="2" t="e">
        <f aca="false">GENERATEDRUGSTRING(formula!$C33,formula!$D33,formula!$G33,formula!$B$2:$B$19)</f>
        <v>#VALUE!</v>
      </c>
      <c r="L33" s="2" t="e">
        <f aca="false">CONCATENATE(formula!$K33,IF(TRIM(formula!$K33)="",""," "),IF(formula!$A33=A34,L34,""))</f>
        <v>#VALUE!</v>
      </c>
    </row>
    <row r="34" customFormat="false" ht="15.65" hidden="false" customHeight="false" outlineLevel="0" collapsed="false">
      <c r="A34" s="1" t="s">
        <v>22</v>
      </c>
      <c r="B34" s="1" t="str">
        <f aca="false">IF(formula!$A34&lt;&gt;A33,formula!$A34,"")</f>
        <v/>
      </c>
      <c r="C34" s="1"/>
      <c r="D34" s="1"/>
      <c r="E34" s="1" t="n">
        <v>12</v>
      </c>
      <c r="F34" s="1" t="n">
        <v>99</v>
      </c>
      <c r="G34" s="1" t="n">
        <v>1</v>
      </c>
      <c r="H34" s="2" t="str">
        <f aca="false">_xlfn.CONCAT(C34,":'",G34,"',")</f>
        <v>:'1',</v>
      </c>
      <c r="I34" s="2" t="str">
        <f aca="false">_xlfn.CONCAT(E34,":'",G34,"',")</f>
        <v>12:'1',</v>
      </c>
      <c r="J34" s="2" t="str">
        <f aca="false">CONCATENATE("if(${p_weight}&gt;0,",formula!$H34,",",formula!$I34,")")</f>
        <v>if(${p_weight}&gt;0,:'1',,12:'1',)</v>
      </c>
      <c r="K34" s="2" t="e">
        <f aca="false">GENERATEDRUGSTRING(formula!$C34,formula!$D34,formula!$G34,formula!$B$2:$B$19)</f>
        <v>#VALUE!</v>
      </c>
      <c r="L34" s="2" t="e">
        <f aca="false">CONCATENATE(formula!$K34,IF(TRIM(formula!$K34)="",""," "),IF(formula!$A34=A35,L35,""))</f>
        <v>#VALUE!</v>
      </c>
    </row>
    <row r="35" customFormat="false" ht="15.65" hidden="false" customHeight="false" outlineLevel="0" collapsed="false">
      <c r="A35" s="1" t="s">
        <v>25</v>
      </c>
      <c r="B35" s="1" t="str">
        <f aca="false">IF(formula!$A35&lt;&gt;A34,formula!$A35,"")</f>
        <v>vitA_100000</v>
      </c>
      <c r="C35" s="1"/>
      <c r="D35" s="1"/>
      <c r="E35" s="1" t="n">
        <v>0</v>
      </c>
      <c r="F35" s="1" t="n">
        <v>6</v>
      </c>
      <c r="G35" s="1" t="s">
        <v>24</v>
      </c>
      <c r="H35" s="2" t="str">
        <f aca="false">_xlfn.CONCAT(C35,":'",G35,"',")</f>
        <v>:'1/2',</v>
      </c>
      <c r="I35" s="2" t="str">
        <f aca="false">_xlfn.CONCAT(E35,":'",G35,"',")</f>
        <v>0:'1/2',</v>
      </c>
      <c r="J35" s="2" t="str">
        <f aca="false">CONCATENATE("if(${p_weight}&gt;0,",formula!$H35,",",formula!$I35,")")</f>
        <v>if(${p_weight}&gt;0,:'1/2',,0:'1/2',)</v>
      </c>
      <c r="K35" s="2" t="e">
        <f aca="false">GENERATEDRUGSTRING(formula!$C35,formula!$D35,formula!$G35,formula!$B$2:$B$19)</f>
        <v>#VALUE!</v>
      </c>
      <c r="L35" s="2" t="e">
        <f aca="false">CONCATENATE(formula!$K35,IF(TRIM(formula!$K35)="",""," "),IF(formula!$A35=A36,L36,""))</f>
        <v>#VALUE!</v>
      </c>
    </row>
    <row r="36" customFormat="false" ht="15.65" hidden="false" customHeight="false" outlineLevel="0" collapsed="false">
      <c r="A36" s="1" t="s">
        <v>25</v>
      </c>
      <c r="B36" s="1" t="str">
        <f aca="false">IF(formula!$A36&lt;&gt;A35,formula!$A36,"")</f>
        <v/>
      </c>
      <c r="C36" s="1"/>
      <c r="D36" s="1"/>
      <c r="E36" s="1" t="n">
        <v>6</v>
      </c>
      <c r="F36" s="1" t="n">
        <v>12</v>
      </c>
      <c r="G36" s="1" t="n">
        <v>1</v>
      </c>
      <c r="H36" s="2" t="str">
        <f aca="false">_xlfn.CONCAT(C36,":'",G36,"',")</f>
        <v>:'1',</v>
      </c>
      <c r="I36" s="2" t="str">
        <f aca="false">_xlfn.CONCAT(E36,":'",G36,"',")</f>
        <v>6:'1',</v>
      </c>
      <c r="J36" s="2" t="str">
        <f aca="false">CONCATENATE("if(${p_weight}&gt;0,",formula!$H36,",",formula!$I36,")")</f>
        <v>if(${p_weight}&gt;0,:'1',,6:'1',)</v>
      </c>
      <c r="K36" s="2" t="e">
        <f aca="false">GENERATEDRUGSTRING(formula!$C36,formula!$D36,formula!$G36,formula!$B$2:$B$19)</f>
        <v>#VALUE!</v>
      </c>
      <c r="L36" s="2" t="e">
        <f aca="false">CONCATENATE(formula!$K36,IF(TRIM(formula!$K36)="",""," "),IF(formula!$A36=A37,L37,""))</f>
        <v>#VALUE!</v>
      </c>
    </row>
    <row r="37" customFormat="false" ht="15.65" hidden="false" customHeight="false" outlineLevel="0" collapsed="false">
      <c r="A37" s="1" t="s">
        <v>25</v>
      </c>
      <c r="B37" s="1" t="str">
        <f aca="false">IF(formula!$A37&lt;&gt;A36,formula!$A37,"")</f>
        <v/>
      </c>
      <c r="C37" s="1"/>
      <c r="D37" s="1"/>
      <c r="E37" s="1" t="n">
        <v>12</v>
      </c>
      <c r="F37" s="1" t="n">
        <v>99</v>
      </c>
      <c r="G37" s="1" t="n">
        <v>2</v>
      </c>
      <c r="H37" s="2" t="str">
        <f aca="false">_xlfn.CONCAT(C37,":'",G37,"',")</f>
        <v>:'2',</v>
      </c>
      <c r="I37" s="2" t="str">
        <f aca="false">_xlfn.CONCAT(E37,":'",G37,"',")</f>
        <v>12:'2',</v>
      </c>
      <c r="J37" s="2" t="str">
        <f aca="false">CONCATENATE("if(${p_weight}&gt;0,",formula!$H37,",",formula!$I37,")")</f>
        <v>if(${p_weight}&gt;0,:'2',,12:'2',)</v>
      </c>
      <c r="K37" s="2" t="e">
        <f aca="false">GENERATEDRUGSTRING(formula!$C37,formula!$D37,formula!$G37,formula!$B$2:$B$19)</f>
        <v>#VALUE!</v>
      </c>
      <c r="L37" s="2" t="e">
        <f aca="false">CONCATENATE(formula!$K37,IF(TRIM(formula!$K37)="",""," "),IF(formula!$A37=A38,L38,""))</f>
        <v>#VALUE!</v>
      </c>
    </row>
    <row r="38" customFormat="false" ht="15.65" hidden="false" customHeight="false" outlineLevel="0" collapsed="false">
      <c r="A38" s="1" t="s">
        <v>26</v>
      </c>
      <c r="B38" s="1" t="str">
        <f aca="false">IF(formula!$A38&lt;&gt;A37,formula!$A38,"")</f>
        <v>vitA_25000</v>
      </c>
      <c r="C38" s="1"/>
      <c r="D38" s="1"/>
      <c r="E38" s="1" t="n">
        <v>0</v>
      </c>
      <c r="F38" s="1" t="n">
        <v>6</v>
      </c>
      <c r="G38" s="1" t="n">
        <v>2</v>
      </c>
      <c r="H38" s="2" t="str">
        <f aca="false">_xlfn.CONCAT(C38,":'",G38,"',")</f>
        <v>:'2',</v>
      </c>
      <c r="I38" s="2" t="str">
        <f aca="false">_xlfn.CONCAT(E38,":'",G38,"',")</f>
        <v>0:'2',</v>
      </c>
      <c r="J38" s="2" t="str">
        <f aca="false">CONCATENATE("if(${p_weight}&gt;0,",formula!$H38,",",formula!$I38,")")</f>
        <v>if(${p_weight}&gt;0,:'2',,0:'2',)</v>
      </c>
      <c r="K38" s="2" t="e">
        <f aca="false">GENERATEDRUGSTRING(formula!$C38,formula!$D38,formula!$G38,formula!$B$2:$B$19)</f>
        <v>#VALUE!</v>
      </c>
      <c r="L38" s="2" t="e">
        <f aca="false">CONCATENATE(formula!$K38,IF(TRIM(formula!$K38)="",""," "),IF(formula!$A38=A39,L39,""))</f>
        <v>#VALUE!</v>
      </c>
    </row>
    <row r="39" customFormat="false" ht="15.65" hidden="false" customHeight="false" outlineLevel="0" collapsed="false">
      <c r="A39" s="1" t="s">
        <v>26</v>
      </c>
      <c r="B39" s="1" t="str">
        <f aca="false">IF(formula!$A39&lt;&gt;A38,formula!$A39,"")</f>
        <v/>
      </c>
      <c r="C39" s="1"/>
      <c r="D39" s="1"/>
      <c r="E39" s="1" t="n">
        <v>6</v>
      </c>
      <c r="F39" s="1" t="n">
        <v>12</v>
      </c>
      <c r="G39" s="1" t="n">
        <v>4</v>
      </c>
      <c r="H39" s="2" t="str">
        <f aca="false">_xlfn.CONCAT(C39,":'",G39,"',")</f>
        <v>:'4',</v>
      </c>
      <c r="I39" s="2" t="str">
        <f aca="false">_xlfn.CONCAT(E39,":'",G39,"',")</f>
        <v>6:'4',</v>
      </c>
      <c r="J39" s="2" t="str">
        <f aca="false">CONCATENATE("if(${p_weight}&gt;0,",formula!$H39,",",formula!$I39,")")</f>
        <v>if(${p_weight}&gt;0,:'4',,6:'4',)</v>
      </c>
      <c r="K39" s="2" t="e">
        <f aca="false">GENERATEDRUGSTRING(formula!$C39,formula!$D39,formula!$G39,formula!$B$2:$B$19)</f>
        <v>#VALUE!</v>
      </c>
      <c r="L39" s="2" t="e">
        <f aca="false">CONCATENATE(formula!$K39,IF(TRIM(formula!$K39)="",""," "),IF(formula!$A39=A40,L40,""))</f>
        <v>#VALUE!</v>
      </c>
    </row>
    <row r="40" customFormat="false" ht="15.65" hidden="false" customHeight="false" outlineLevel="0" collapsed="false">
      <c r="A40" s="1" t="s">
        <v>26</v>
      </c>
      <c r="B40" s="1" t="str">
        <f aca="false">IF(formula!$A40&lt;&gt;A39,formula!$A40,"")</f>
        <v/>
      </c>
      <c r="C40" s="1"/>
      <c r="D40" s="1"/>
      <c r="E40" s="1" t="n">
        <v>12</v>
      </c>
      <c r="F40" s="1" t="n">
        <v>99</v>
      </c>
      <c r="G40" s="1" t="n">
        <v>8</v>
      </c>
      <c r="H40" s="2" t="str">
        <f aca="false">_xlfn.CONCAT(C40,":'",G40,"',")</f>
        <v>:'8',</v>
      </c>
      <c r="I40" s="2" t="str">
        <f aca="false">_xlfn.CONCAT(E40,":'",G40,"',")</f>
        <v>12:'8',</v>
      </c>
      <c r="J40" s="2" t="str">
        <f aca="false">CONCATENATE("if(${p_weight}&gt;0,",formula!$H40,",",formula!$I40,")")</f>
        <v>if(${p_weight}&gt;0,:'8',,12:'8',)</v>
      </c>
      <c r="K40" s="2" t="e">
        <f aca="false">GENERATEDRUGSTRING(formula!$C40,formula!$D40,formula!$G40,formula!$B$2:$B$19)</f>
        <v>#VALUE!</v>
      </c>
      <c r="L40" s="2" t="e">
        <f aca="false">CONCATENATE(formula!$K40,IF(TRIM(formula!$K40)="",""," "),IF(formula!$A40=A41,L41,""))</f>
        <v>#VALUE!</v>
      </c>
    </row>
    <row r="41" customFormat="false" ht="15.65" hidden="false" customHeight="false" outlineLevel="0" collapsed="false">
      <c r="A41" s="1" t="s">
        <v>27</v>
      </c>
      <c r="B41" s="1" t="str">
        <f aca="false">IF(formula!$A41&lt;&gt;A40,formula!$A41,"")</f>
        <v>ruft</v>
      </c>
      <c r="C41" s="1" t="n">
        <v>0</v>
      </c>
      <c r="D41" s="1" t="n">
        <v>3.5</v>
      </c>
      <c r="E41" s="1"/>
      <c r="F41" s="1"/>
      <c r="G41" s="1" t="s">
        <v>28</v>
      </c>
      <c r="H41" s="2" t="str">
        <f aca="false">_xlfn.CONCAT(C41,":'",G41,"',")</f>
        <v>0:'-',</v>
      </c>
      <c r="I41" s="2" t="str">
        <f aca="false">_xlfn.CONCAT(E41,":'",G41,"',")</f>
        <v>:'-',</v>
      </c>
      <c r="J41" s="2" t="str">
        <f aca="false">CONCATENATE("if(${p_weight}&gt;0,",formula!$H41,",",formula!$I41,")")</f>
        <v>if(${p_weight}&gt;0,0:'-',,:'-',)</v>
      </c>
      <c r="K41" s="2" t="e">
        <f aca="false">GENERATEDRUGSTRING(formula!$C41,formula!$D41,formula!$G41,formula!$B$2:$B$19)</f>
        <v>#VALUE!</v>
      </c>
      <c r="L41" s="2" t="e">
        <f aca="false">CONCATENATE(formula!$K41,IF(TRIM(formula!$K41)="",""," "),IF(formula!$A41=A42,L42,""))</f>
        <v>#VALUE!</v>
      </c>
    </row>
    <row r="42" customFormat="false" ht="15.65" hidden="false" customHeight="false" outlineLevel="0" collapsed="false">
      <c r="A42" s="1" t="s">
        <v>27</v>
      </c>
      <c r="B42" s="1" t="str">
        <f aca="false">IF(formula!$A42&lt;&gt;A41,formula!$A42,"")</f>
        <v/>
      </c>
      <c r="C42" s="1" t="n">
        <v>3.5</v>
      </c>
      <c r="D42" s="1" t="n">
        <v>4</v>
      </c>
      <c r="E42" s="1"/>
      <c r="F42" s="1"/>
      <c r="G42" s="1" t="n">
        <v>1.5</v>
      </c>
      <c r="H42" s="2" t="str">
        <f aca="false">_xlfn.CONCAT(C42,":'",G42,"',")</f>
        <v>3.5:'1.5',</v>
      </c>
      <c r="I42" s="2" t="str">
        <f aca="false">_xlfn.CONCAT(E42,":'",G42,"',")</f>
        <v>:'1.5',</v>
      </c>
      <c r="J42" s="2" t="str">
        <f aca="false">CONCATENATE("if(${p_weight}&gt;0,",formula!$H42,",",formula!$I42,")")</f>
        <v>if(${p_weight}&gt;0,3.5:'1.5',,:'1.5',)</v>
      </c>
      <c r="K42" s="2" t="e">
        <f aca="false">GENERATEDRUGSTRING(formula!$C42,formula!$D42,formula!$G42,formula!$B$2:$B$19)</f>
        <v>#VALUE!</v>
      </c>
      <c r="L42" s="2" t="e">
        <f aca="false">CONCATENATE(formula!$K42,IF(TRIM(formula!$K42)="",""," "),IF(formula!$A42=A43,L43,""))</f>
        <v>#VALUE!</v>
      </c>
    </row>
    <row r="43" customFormat="false" ht="15.65" hidden="false" customHeight="false" outlineLevel="0" collapsed="false">
      <c r="A43" s="1" t="s">
        <v>27</v>
      </c>
      <c r="B43" s="1" t="str">
        <f aca="false">IF(formula!$A43&lt;&gt;A42,formula!$A43,"")</f>
        <v/>
      </c>
      <c r="C43" s="1" t="n">
        <v>4</v>
      </c>
      <c r="D43" s="1" t="n">
        <v>5</v>
      </c>
      <c r="E43" s="1"/>
      <c r="F43" s="1"/>
      <c r="G43" s="1" t="n">
        <v>2</v>
      </c>
      <c r="H43" s="2" t="str">
        <f aca="false">_xlfn.CONCAT(C43,":'",G43,"',")</f>
        <v>4:'2',</v>
      </c>
      <c r="I43" s="2" t="str">
        <f aca="false">_xlfn.CONCAT(E43,":'",G43,"',")</f>
        <v>:'2',</v>
      </c>
      <c r="J43" s="2" t="str">
        <f aca="false">CONCATENATE("if(${p_weight}&gt;0,",formula!$H43,",",formula!$I43,")")</f>
        <v>if(${p_weight}&gt;0,4:'2',,:'2',)</v>
      </c>
      <c r="K43" s="2" t="e">
        <f aca="false">GENERATEDRUGSTRING(formula!$C43,formula!$D43,formula!$G43,formula!$B$2:$B$19)</f>
        <v>#VALUE!</v>
      </c>
      <c r="L43" s="2" t="e">
        <f aca="false">CONCATENATE(formula!$K43,IF(TRIM(formula!$K43)="",""," "),IF(formula!$A43=A44,L44,""))</f>
        <v>#VALUE!</v>
      </c>
    </row>
    <row r="44" customFormat="false" ht="15.65" hidden="false" customHeight="false" outlineLevel="0" collapsed="false">
      <c r="A44" s="1" t="s">
        <v>27</v>
      </c>
      <c r="B44" s="1" t="str">
        <f aca="false">IF(formula!$A44&lt;&gt;A43,formula!$A44,"")</f>
        <v/>
      </c>
      <c r="C44" s="1" t="n">
        <v>5</v>
      </c>
      <c r="D44" s="1" t="n">
        <v>7</v>
      </c>
      <c r="E44" s="1"/>
      <c r="F44" s="1"/>
      <c r="G44" s="1" t="n">
        <v>2.5</v>
      </c>
      <c r="H44" s="2" t="str">
        <f aca="false">_xlfn.CONCAT(C44,":'",G44,"',")</f>
        <v>5:'2.5',</v>
      </c>
      <c r="I44" s="2" t="str">
        <f aca="false">_xlfn.CONCAT(E44,":'",G44,"',")</f>
        <v>:'2.5',</v>
      </c>
      <c r="J44" s="2" t="str">
        <f aca="false">CONCATENATE("if(${p_weight}&gt;0,",formula!$H44,",",formula!$I44,")")</f>
        <v>if(${p_weight}&gt;0,5:'2.5',,:'2.5',)</v>
      </c>
      <c r="K44" s="2" t="e">
        <f aca="false">GENERATEDRUGSTRING(formula!$C44,formula!$D44,formula!$G44,formula!$B$2:$B$19)</f>
        <v>#VALUE!</v>
      </c>
      <c r="L44" s="2" t="e">
        <f aca="false">CONCATENATE(formula!$K44,IF(TRIM(formula!$K44)="",""," "),IF(formula!$A44=A45,L45,""))</f>
        <v>#VALUE!</v>
      </c>
    </row>
    <row r="45" customFormat="false" ht="15.65" hidden="false" customHeight="false" outlineLevel="0" collapsed="false">
      <c r="A45" s="1" t="s">
        <v>27</v>
      </c>
      <c r="B45" s="1" t="str">
        <f aca="false">IF(formula!$A45&lt;&gt;A44,formula!$A45,"")</f>
        <v/>
      </c>
      <c r="C45" s="1" t="n">
        <v>7</v>
      </c>
      <c r="D45" s="1" t="n">
        <v>8.5</v>
      </c>
      <c r="E45" s="1"/>
      <c r="F45" s="1"/>
      <c r="G45" s="1" t="n">
        <v>3</v>
      </c>
      <c r="H45" s="2" t="str">
        <f aca="false">_xlfn.CONCAT(C45,":'",G45,"',")</f>
        <v>7:'3',</v>
      </c>
      <c r="I45" s="2" t="str">
        <f aca="false">_xlfn.CONCAT(E45,":'",G45,"',")</f>
        <v>:'3',</v>
      </c>
      <c r="J45" s="2" t="str">
        <f aca="false">CONCATENATE("if(${p_weight}&gt;0,",formula!$H45,",",formula!$I45,")")</f>
        <v>if(${p_weight}&gt;0,7:'3',,:'3',)</v>
      </c>
      <c r="K45" s="2" t="e">
        <f aca="false">GENERATEDRUGSTRING(formula!$C45,formula!$D45,formula!$G45,formula!$B$2:$B$19)</f>
        <v>#VALUE!</v>
      </c>
      <c r="L45" s="2" t="e">
        <f aca="false">CONCATENATE(formula!$K45,IF(TRIM(formula!$K45)="",""," "),IF(formula!$A45=A46,L46,""))</f>
        <v>#VALUE!</v>
      </c>
    </row>
    <row r="46" customFormat="false" ht="15.65" hidden="false" customHeight="false" outlineLevel="0" collapsed="false">
      <c r="A46" s="1" t="s">
        <v>27</v>
      </c>
      <c r="B46" s="1" t="str">
        <f aca="false">IF(formula!$A46&lt;&gt;A45,formula!$A46,"")</f>
        <v/>
      </c>
      <c r="C46" s="1" t="n">
        <v>8.5</v>
      </c>
      <c r="D46" s="1" t="n">
        <v>9.5</v>
      </c>
      <c r="E46" s="1"/>
      <c r="F46" s="1"/>
      <c r="G46" s="1" t="n">
        <v>3.5</v>
      </c>
      <c r="H46" s="2" t="str">
        <f aca="false">_xlfn.CONCAT(C46,":'",G46,"',")</f>
        <v>8.5:'3.5',</v>
      </c>
      <c r="I46" s="2" t="str">
        <f aca="false">_xlfn.CONCAT(E46,":'",G46,"',")</f>
        <v>:'3.5',</v>
      </c>
      <c r="J46" s="2" t="str">
        <f aca="false">CONCATENATE("if(${p_weight}&gt;0,",formula!$H46,",",formula!$I46,")")</f>
        <v>if(${p_weight}&gt;0,8.5:'3.5',,:'3.5',)</v>
      </c>
      <c r="K46" s="2" t="e">
        <f aca="false">GENERATEDRUGSTRING(formula!$C46,formula!$D46,formula!$G46,formula!$B$2:$B$19)</f>
        <v>#VALUE!</v>
      </c>
      <c r="L46" s="2" t="e">
        <f aca="false">CONCATENATE(formula!$K46,IF(TRIM(formula!$K46)="",""," "),IF(formula!$A46=A47,L47,""))</f>
        <v>#VALUE!</v>
      </c>
    </row>
    <row r="47" customFormat="false" ht="15.65" hidden="false" customHeight="false" outlineLevel="0" collapsed="false">
      <c r="A47" s="1" t="s">
        <v>27</v>
      </c>
      <c r="B47" s="1" t="str">
        <f aca="false">IF(formula!$A47&lt;&gt;A46,formula!$A47,"")</f>
        <v/>
      </c>
      <c r="C47" s="1" t="n">
        <v>9.5</v>
      </c>
      <c r="D47" s="1" t="n">
        <v>10.5</v>
      </c>
      <c r="E47" s="1"/>
      <c r="F47" s="1"/>
      <c r="G47" s="1" t="n">
        <v>4</v>
      </c>
      <c r="H47" s="2" t="str">
        <f aca="false">_xlfn.CONCAT(C47,":'",G47,"',")</f>
        <v>9.5:'4',</v>
      </c>
      <c r="I47" s="2" t="str">
        <f aca="false">_xlfn.CONCAT(E47,":'",G47,"',")</f>
        <v>:'4',</v>
      </c>
      <c r="J47" s="2" t="str">
        <f aca="false">CONCATENATE("if(${p_weight}&gt;0,",formula!$H47,",",formula!$I47,")")</f>
        <v>if(${p_weight}&gt;0,9.5:'4',,:'4',)</v>
      </c>
      <c r="K47" s="2" t="e">
        <f aca="false">GENERATEDRUGSTRING(formula!$C47,formula!$D47,formula!$G47,formula!$B$2:$B$19)</f>
        <v>#VALUE!</v>
      </c>
      <c r="L47" s="2" t="e">
        <f aca="false">CONCATENATE(formula!$K47,IF(TRIM(formula!$K47)="",""," "),IF(formula!$A47=A48,L48,""))</f>
        <v>#VALUE!</v>
      </c>
    </row>
    <row r="48" customFormat="false" ht="15.65" hidden="false" customHeight="false" outlineLevel="0" collapsed="false">
      <c r="A48" s="1" t="s">
        <v>27</v>
      </c>
      <c r="B48" s="1" t="str">
        <f aca="false">IF(formula!$A48&lt;&gt;A47,formula!$A48,"")</f>
        <v/>
      </c>
      <c r="C48" s="1" t="n">
        <v>10.5</v>
      </c>
      <c r="D48" s="1" t="n">
        <v>11.9</v>
      </c>
      <c r="E48" s="1"/>
      <c r="F48" s="1"/>
      <c r="G48" s="1" t="n">
        <v>4.5</v>
      </c>
      <c r="H48" s="2" t="str">
        <f aca="false">_xlfn.CONCAT(C48,":'",G48,"',")</f>
        <v>10.5:'4.5',</v>
      </c>
      <c r="I48" s="2" t="str">
        <f aca="false">_xlfn.CONCAT(E48,":'",G48,"',")</f>
        <v>:'4.5',</v>
      </c>
      <c r="J48" s="2" t="str">
        <f aca="false">CONCATENATE("if(${p_weight}&gt;0,",formula!$H48,",",formula!$I48,")")</f>
        <v>if(${p_weight}&gt;0,10.5:'4.5',,:'4.5',)</v>
      </c>
      <c r="K48" s="2" t="e">
        <f aca="false">GENERATEDRUGSTRING(formula!$C48,formula!$D48,formula!$G48,formula!$B$2:$B$19)</f>
        <v>#VALUE!</v>
      </c>
      <c r="L48" s="2" t="e">
        <f aca="false">CONCATENATE(formula!$K48,IF(TRIM(formula!$K48)="",""," "),IF(formula!$A48=A49,L49,""))</f>
        <v>#VALUE!</v>
      </c>
    </row>
    <row r="49" customFormat="false" ht="15.65" hidden="false" customHeight="false" outlineLevel="0" collapsed="false">
      <c r="A49" s="1" t="s">
        <v>27</v>
      </c>
      <c r="B49" s="1" t="str">
        <f aca="false">IF(formula!$A49&lt;&gt;A48,formula!$A49,"")</f>
        <v/>
      </c>
      <c r="C49" s="1" t="n">
        <v>12</v>
      </c>
      <c r="D49" s="1" t="n">
        <v>100</v>
      </c>
      <c r="E49" s="1"/>
      <c r="F49" s="1"/>
      <c r="G49" s="1" t="n">
        <v>5</v>
      </c>
      <c r="H49" s="2" t="str">
        <f aca="false">_xlfn.CONCAT(C49,":'",G49,"',")</f>
        <v>12:'5',</v>
      </c>
      <c r="I49" s="2" t="str">
        <f aca="false">_xlfn.CONCAT(E49,":'",G49,"',")</f>
        <v>:'5',</v>
      </c>
      <c r="J49" s="2" t="str">
        <f aca="false">CONCATENATE("if(${p_weight}&gt;0,",formula!$H49,",",formula!$I49,")")</f>
        <v>if(${p_weight}&gt;0,12:'5',,:'5',)</v>
      </c>
      <c r="K49" s="2" t="e">
        <f aca="false">GENERATEDRUGSTRING(formula!$C49,formula!$D49,formula!$G49,formula!$B$2:$B$19)</f>
        <v>#VALUE!</v>
      </c>
      <c r="L49" s="2" t="e">
        <f aca="false">CONCATENATE(formula!$K49,IF(TRIM(formula!$K49)="",""," "),IF(formula!$A49=A50,L50,""))</f>
        <v>#VALUE!</v>
      </c>
    </row>
    <row r="50" customFormat="false" ht="15.65" hidden="false" customHeight="false" outlineLevel="0" collapsed="false">
      <c r="A50" s="1" t="s">
        <v>29</v>
      </c>
      <c r="B50" s="1" t="str">
        <f aca="false">IF(formula!$A50&lt;&gt;A49,formula!$A50,"")</f>
        <v>artemether_im_ml</v>
      </c>
      <c r="C50" s="1" t="n">
        <v>0</v>
      </c>
      <c r="D50" s="1" t="n">
        <v>3</v>
      </c>
      <c r="E50" s="1"/>
      <c r="F50" s="1"/>
      <c r="G50" s="1" t="n">
        <v>0</v>
      </c>
      <c r="H50" s="2" t="str">
        <f aca="false">_xlfn.CONCAT(C50,":'",G50,"',")</f>
        <v>0:'0',</v>
      </c>
      <c r="I50" s="2" t="str">
        <f aca="false">_xlfn.CONCAT(E50,":'",G50,"',")</f>
        <v>:'0',</v>
      </c>
      <c r="J50" s="2" t="str">
        <f aca="false">CONCATENATE("if(${p_weight}&gt;0,",formula!$H50,",",formula!$I50,")")</f>
        <v>if(${p_weight}&gt;0,0:'0',,:'0',)</v>
      </c>
      <c r="K50" s="2" t="e">
        <f aca="false">GENERATEDRUGSTRING(formula!$C50,formula!$D50,formula!$G50,formula!$B$2:$B$19)</f>
        <v>#VALUE!</v>
      </c>
      <c r="L50" s="2" t="e">
        <f aca="false">CONCATENATE(formula!$K50,IF(TRIM(formula!$K50)="",""," "),IF(formula!$A50=A51,L51,""))</f>
        <v>#VALUE!</v>
      </c>
    </row>
    <row r="51" customFormat="false" ht="15.65" hidden="false" customHeight="false" outlineLevel="0" collapsed="false">
      <c r="A51" s="1" t="s">
        <v>29</v>
      </c>
      <c r="B51" s="1" t="str">
        <f aca="false">IF(formula!$A51&lt;&gt;A50,formula!$A51,"")</f>
        <v/>
      </c>
      <c r="C51" s="1" t="n">
        <v>3</v>
      </c>
      <c r="D51" s="1" t="n">
        <v>6</v>
      </c>
      <c r="E51" s="1"/>
      <c r="F51" s="1"/>
      <c r="G51" s="1" t="n">
        <v>0.1</v>
      </c>
      <c r="H51" s="2" t="str">
        <f aca="false">_xlfn.CONCAT(C51,":'",G51,"',")</f>
        <v>3:'0.1',</v>
      </c>
      <c r="I51" s="2" t="str">
        <f aca="false">_xlfn.CONCAT(E51,":'",G51,"',")</f>
        <v>:'0.1',</v>
      </c>
      <c r="J51" s="2" t="str">
        <f aca="false">CONCATENATE("if(${p_weight}&gt;0,",formula!$H51,",",formula!$I51,")")</f>
        <v>if(${p_weight}&gt;0,3:'0.1',,:'0.1',)</v>
      </c>
      <c r="K51" s="2" t="e">
        <f aca="false">GENERATEDRUGSTRING(formula!$C51,formula!$D51,formula!$G51,formula!$B$2:$B$19)</f>
        <v>#VALUE!</v>
      </c>
      <c r="L51" s="2" t="e">
        <f aca="false">CONCATENATE(formula!$K51,IF(TRIM(formula!$K51)="",""," "),IF(formula!$A51=A52,L52,""))</f>
        <v>#VALUE!</v>
      </c>
    </row>
    <row r="52" customFormat="false" ht="15.65" hidden="false" customHeight="false" outlineLevel="0" collapsed="false">
      <c r="A52" s="1" t="s">
        <v>29</v>
      </c>
      <c r="B52" s="1" t="str">
        <f aca="false">IF(formula!$A52&lt;&gt;A51,formula!$A52,"")</f>
        <v/>
      </c>
      <c r="C52" s="1" t="n">
        <v>6</v>
      </c>
      <c r="D52" s="1" t="n">
        <v>10</v>
      </c>
      <c r="E52" s="1"/>
      <c r="F52" s="1"/>
      <c r="G52" s="1" t="n">
        <v>0.2</v>
      </c>
      <c r="H52" s="2" t="str">
        <f aca="false">_xlfn.CONCAT(C52,":'",G52,"',")</f>
        <v>6:'0.2',</v>
      </c>
      <c r="I52" s="2" t="str">
        <f aca="false">_xlfn.CONCAT(E52,":'",G52,"',")</f>
        <v>:'0.2',</v>
      </c>
      <c r="J52" s="2" t="str">
        <f aca="false">CONCATENATE("if(${p_weight}&gt;0,",formula!$H52,",",formula!$I52,")")</f>
        <v>if(${p_weight}&gt;0,6:'0.2',,:'0.2',)</v>
      </c>
      <c r="K52" s="2" t="e">
        <f aca="false">GENERATEDRUGSTRING(formula!$C52,formula!$D52,formula!$G52,formula!$B$2:$B$19)</f>
        <v>#VALUE!</v>
      </c>
      <c r="L52" s="2" t="e">
        <f aca="false">CONCATENATE(formula!$K52,IF(TRIM(formula!$K52)="",""," "),IF(formula!$A52=A53,L53,""))</f>
        <v>#VALUE!</v>
      </c>
    </row>
    <row r="53" customFormat="false" ht="15.65" hidden="false" customHeight="false" outlineLevel="0" collapsed="false">
      <c r="A53" s="1" t="s">
        <v>29</v>
      </c>
      <c r="B53" s="1" t="str">
        <f aca="false">IF(formula!$A53&lt;&gt;A52,formula!$A53,"")</f>
        <v/>
      </c>
      <c r="C53" s="1" t="n">
        <v>10</v>
      </c>
      <c r="D53" s="1" t="n">
        <v>12</v>
      </c>
      <c r="E53" s="1"/>
      <c r="F53" s="1"/>
      <c r="G53" s="1" t="n">
        <v>0.25</v>
      </c>
      <c r="H53" s="2" t="str">
        <f aca="false">_xlfn.CONCAT(C53,":'",G53,"',")</f>
        <v>10:'0.25',</v>
      </c>
      <c r="I53" s="2" t="str">
        <f aca="false">_xlfn.CONCAT(E53,":'",G53,"',")</f>
        <v>:'0.25',</v>
      </c>
      <c r="J53" s="2" t="str">
        <f aca="false">CONCATENATE("if(${p_weight}&gt;0,",formula!$H53,",",formula!$I53,")")</f>
        <v>if(${p_weight}&gt;0,10:'0.25',,:'0.25',)</v>
      </c>
      <c r="K53" s="2" t="e">
        <f aca="false">GENERATEDRUGSTRING(formula!$C53,formula!$D53,formula!$G53,formula!$B$2:$B$19)</f>
        <v>#VALUE!</v>
      </c>
      <c r="L53" s="2" t="e">
        <f aca="false">CONCATENATE(formula!$K53,IF(TRIM(formula!$K53)="",""," "),IF(formula!$A53=A54,L54,""))</f>
        <v>#VALUE!</v>
      </c>
    </row>
    <row r="54" customFormat="false" ht="15.65" hidden="false" customHeight="false" outlineLevel="0" collapsed="false">
      <c r="A54" s="1" t="s">
        <v>29</v>
      </c>
      <c r="B54" s="1" t="str">
        <f aca="false">IF(formula!$A54&lt;&gt;A53,formula!$A54,"")</f>
        <v/>
      </c>
      <c r="C54" s="1" t="n">
        <v>12</v>
      </c>
      <c r="D54" s="1" t="n">
        <v>15</v>
      </c>
      <c r="E54" s="1"/>
      <c r="F54" s="1"/>
      <c r="G54" s="1" t="n">
        <v>0.3</v>
      </c>
      <c r="H54" s="2" t="str">
        <f aca="false">_xlfn.CONCAT(C54,":'",G54,"',")</f>
        <v>12:'0.3',</v>
      </c>
      <c r="I54" s="2" t="str">
        <f aca="false">_xlfn.CONCAT(E54,":'",G54,"',")</f>
        <v>:'0.3',</v>
      </c>
      <c r="J54" s="2" t="str">
        <f aca="false">CONCATENATE("if(${p_weight}&gt;0,",formula!$H54,",",formula!$I54,")")</f>
        <v>if(${p_weight}&gt;0,12:'0.3',,:'0.3',)</v>
      </c>
      <c r="K54" s="2" t="e">
        <f aca="false">GENERATEDRUGSTRING(formula!$C54,formula!$D54,formula!$G54,formula!$B$2:$B$19)</f>
        <v>#VALUE!</v>
      </c>
      <c r="L54" s="2" t="e">
        <f aca="false">CONCATENATE(formula!$K54,IF(TRIM(formula!$K54)="",""," "),IF(formula!$A54=A55,L55,""))</f>
        <v>#VALUE!</v>
      </c>
    </row>
    <row r="55" customFormat="false" ht="15.65" hidden="false" customHeight="false" outlineLevel="0" collapsed="false">
      <c r="A55" s="1" t="s">
        <v>29</v>
      </c>
      <c r="B55" s="1" t="str">
        <f aca="false">IF(formula!$A55&lt;&gt;A54,formula!$A55,"")</f>
        <v/>
      </c>
      <c r="C55" s="1" t="n">
        <v>15</v>
      </c>
      <c r="D55" s="1" t="n">
        <v>100</v>
      </c>
      <c r="E55" s="1"/>
      <c r="F55" s="1"/>
      <c r="G55" s="1" t="n">
        <v>0.4</v>
      </c>
      <c r="H55" s="2" t="str">
        <f aca="false">_xlfn.CONCAT(C55,":'",G55,"',")</f>
        <v>15:'0.4',</v>
      </c>
      <c r="I55" s="2" t="str">
        <f aca="false">_xlfn.CONCAT(E55,":'",G55,"',")</f>
        <v>:'0.4',</v>
      </c>
      <c r="J55" s="2" t="str">
        <f aca="false">CONCATENATE("if(${p_weight}&gt;0,",formula!$H55,",",formula!$I55,")")</f>
        <v>if(${p_weight}&gt;0,15:'0.4',,:'0.4',)</v>
      </c>
      <c r="K55" s="2" t="e">
        <f aca="false">GENERATEDRUGSTRING(formula!$C55,formula!$D55,formula!$G55,formula!$B$2:$B$19)</f>
        <v>#VALUE!</v>
      </c>
      <c r="L55" s="2" t="e">
        <f aca="false">CONCATENATE(formula!$K55,IF(TRIM(formula!$K55)="",""," "),IF(formula!$A55=A56,L56,""))</f>
        <v>#VALUE!</v>
      </c>
    </row>
    <row r="56" customFormat="false" ht="15.65" hidden="false" customHeight="false" outlineLevel="0" collapsed="false">
      <c r="A56" s="1" t="s">
        <v>30</v>
      </c>
      <c r="B56" s="1" t="str">
        <f aca="false">IF(formula!$A56&lt;&gt;A55,formula!$A56,"")</f>
        <v>artesunate_im_ml</v>
      </c>
      <c r="C56" s="1" t="n">
        <v>0</v>
      </c>
      <c r="D56" s="1" t="n">
        <v>3</v>
      </c>
      <c r="E56" s="1"/>
      <c r="F56" s="1"/>
      <c r="G56" s="1" t="n">
        <v>0</v>
      </c>
      <c r="H56" s="2" t="str">
        <f aca="false">_xlfn.CONCAT(C56,":'",G56,"',")</f>
        <v>0:'0',</v>
      </c>
      <c r="I56" s="2" t="str">
        <f aca="false">_xlfn.CONCAT(E56,":'",G56,"',")</f>
        <v>:'0',</v>
      </c>
      <c r="J56" s="2" t="str">
        <f aca="false">CONCATENATE("if(${p_weight}&gt;0,",formula!$H56,",",formula!$I56,")")</f>
        <v>if(${p_weight}&gt;0,0:'0',,:'0',)</v>
      </c>
      <c r="K56" s="2" t="e">
        <f aca="false">GENERATEDRUGSTRING(formula!$C56,formula!$D56,formula!$G56,formula!$B$2:$B$19)</f>
        <v>#VALUE!</v>
      </c>
      <c r="L56" s="2" t="e">
        <f aca="false">CONCATENATE(formula!$K56,IF(TRIM(formula!$K56)="",""," "),IF(formula!$A56=A57,L57,""))</f>
        <v>#VALUE!</v>
      </c>
    </row>
    <row r="57" customFormat="false" ht="15.65" hidden="false" customHeight="false" outlineLevel="0" collapsed="false">
      <c r="A57" s="1" t="s">
        <v>30</v>
      </c>
      <c r="B57" s="1" t="str">
        <f aca="false">IF(formula!$A57&lt;&gt;A56,formula!$A57,"")</f>
        <v/>
      </c>
      <c r="C57" s="1" t="n">
        <v>3</v>
      </c>
      <c r="D57" s="1" t="n">
        <v>6</v>
      </c>
      <c r="E57" s="1"/>
      <c r="F57" s="1"/>
      <c r="G57" s="1" t="n">
        <v>0.6</v>
      </c>
      <c r="H57" s="2" t="str">
        <f aca="false">_xlfn.CONCAT(C57,":'",G57,"',")</f>
        <v>3:'0.6',</v>
      </c>
      <c r="I57" s="2" t="str">
        <f aca="false">_xlfn.CONCAT(E57,":'",G57,"',")</f>
        <v>:'0.6',</v>
      </c>
      <c r="J57" s="2" t="str">
        <f aca="false">CONCATENATE("if(${p_weight}&gt;0,",formula!$H57,",",formula!$I57,")")</f>
        <v>if(${p_weight}&gt;0,3:'0.6',,:'0.6',)</v>
      </c>
      <c r="K57" s="2" t="e">
        <f aca="false">GENERATEDRUGSTRING(formula!$C57,formula!$D57,formula!$G57,formula!$B$2:$B$19)</f>
        <v>#VALUE!</v>
      </c>
      <c r="L57" s="2" t="e">
        <f aca="false">CONCATENATE(formula!$K57,IF(TRIM(formula!$K57)="",""," "),IF(formula!$A57=A58,L58,""))</f>
        <v>#VALUE!</v>
      </c>
    </row>
    <row r="58" customFormat="false" ht="15.65" hidden="false" customHeight="false" outlineLevel="0" collapsed="false">
      <c r="A58" s="1" t="s">
        <v>30</v>
      </c>
      <c r="B58" s="1" t="str">
        <f aca="false">IF(formula!$A58&lt;&gt;A57,formula!$A58,"")</f>
        <v/>
      </c>
      <c r="C58" s="1" t="n">
        <v>6</v>
      </c>
      <c r="D58" s="1" t="n">
        <v>10</v>
      </c>
      <c r="E58" s="1"/>
      <c r="F58" s="1"/>
      <c r="G58" s="1" t="n">
        <v>1.1</v>
      </c>
      <c r="H58" s="2" t="str">
        <f aca="false">_xlfn.CONCAT(C58,":'",G58,"',")</f>
        <v>6:'1.1',</v>
      </c>
      <c r="I58" s="2" t="str">
        <f aca="false">_xlfn.CONCAT(E58,":'",G58,"',")</f>
        <v>:'1.1',</v>
      </c>
      <c r="J58" s="2" t="str">
        <f aca="false">CONCATENATE("if(${p_weight}&gt;0,",formula!$H58,",",formula!$I58,")")</f>
        <v>if(${p_weight}&gt;0,6:'1.1',,:'1.1',)</v>
      </c>
      <c r="K58" s="2" t="e">
        <f aca="false">GENERATEDRUGSTRING(formula!$C58,formula!$D58,formula!$G58,formula!$B$2:$B$19)</f>
        <v>#VALUE!</v>
      </c>
      <c r="L58" s="2" t="e">
        <f aca="false">CONCATENATE(formula!$K58,IF(TRIM(formula!$K58)="",""," "),IF(formula!$A58=A59,L59,""))</f>
        <v>#VALUE!</v>
      </c>
    </row>
    <row r="59" customFormat="false" ht="15.65" hidden="false" customHeight="false" outlineLevel="0" collapsed="false">
      <c r="A59" s="1" t="s">
        <v>30</v>
      </c>
      <c r="B59" s="1" t="str">
        <f aca="false">IF(formula!$A59&lt;&gt;A58,formula!$A59,"")</f>
        <v/>
      </c>
      <c r="C59" s="1" t="n">
        <v>10</v>
      </c>
      <c r="D59" s="1" t="n">
        <v>12</v>
      </c>
      <c r="E59" s="1"/>
      <c r="F59" s="1"/>
      <c r="G59" s="1" t="n">
        <v>1.4</v>
      </c>
      <c r="H59" s="2" t="str">
        <f aca="false">_xlfn.CONCAT(C59,":'",G59,"',")</f>
        <v>10:'1.4',</v>
      </c>
      <c r="I59" s="2" t="str">
        <f aca="false">_xlfn.CONCAT(E59,":'",G59,"',")</f>
        <v>:'1.4',</v>
      </c>
      <c r="J59" s="2" t="str">
        <f aca="false">CONCATENATE("if(${p_weight}&gt;0,",formula!$H59,",",formula!$I59,")")</f>
        <v>if(${p_weight}&gt;0,10:'1.4',,:'1.4',)</v>
      </c>
      <c r="K59" s="2" t="e">
        <f aca="false">GENERATEDRUGSTRING(formula!$C59,formula!$D59,formula!$G59,formula!$B$2:$B$19)</f>
        <v>#VALUE!</v>
      </c>
      <c r="L59" s="2" t="e">
        <f aca="false">CONCATENATE(formula!$K59,IF(TRIM(formula!$K59)="",""," "),IF(formula!$A59=A60,L60,""))</f>
        <v>#VALUE!</v>
      </c>
    </row>
    <row r="60" customFormat="false" ht="15.65" hidden="false" customHeight="false" outlineLevel="0" collapsed="false">
      <c r="A60" s="1" t="s">
        <v>30</v>
      </c>
      <c r="B60" s="1" t="str">
        <f aca="false">IF(formula!$A60&lt;&gt;A59,formula!$A60,"")</f>
        <v/>
      </c>
      <c r="C60" s="1" t="n">
        <v>12</v>
      </c>
      <c r="D60" s="1" t="n">
        <v>15</v>
      </c>
      <c r="E60" s="1"/>
      <c r="F60" s="1"/>
      <c r="G60" s="1" t="n">
        <v>1.8</v>
      </c>
      <c r="H60" s="2" t="str">
        <f aca="false">_xlfn.CONCAT(C60,":'",G60,"',")</f>
        <v>12:'1.8',</v>
      </c>
      <c r="I60" s="2" t="str">
        <f aca="false">_xlfn.CONCAT(E60,":'",G60,"',")</f>
        <v>:'1.8',</v>
      </c>
      <c r="J60" s="2" t="str">
        <f aca="false">CONCATENATE("if(${p_weight}&gt;0,",formula!$H60,",",formula!$I60,")")</f>
        <v>if(${p_weight}&gt;0,12:'1.8',,:'1.8',)</v>
      </c>
      <c r="K60" s="2" t="e">
        <f aca="false">GENERATEDRUGSTRING(formula!$C60,formula!$D60,formula!$G60,formula!$B$2:$B$19)</f>
        <v>#VALUE!</v>
      </c>
      <c r="L60" s="2" t="e">
        <f aca="false">CONCATENATE(formula!$K60,IF(TRIM(formula!$K60)="",""," "),IF(formula!$A60=A61,L61,""))</f>
        <v>#VALUE!</v>
      </c>
    </row>
    <row r="61" customFormat="false" ht="15.65" hidden="false" customHeight="false" outlineLevel="0" collapsed="false">
      <c r="A61" s="1" t="s">
        <v>30</v>
      </c>
      <c r="B61" s="1" t="str">
        <f aca="false">IF(formula!$A61&lt;&gt;A60,formula!$A61,"")</f>
        <v/>
      </c>
      <c r="C61" s="1" t="n">
        <v>15</v>
      </c>
      <c r="D61" s="1" t="n">
        <v>100</v>
      </c>
      <c r="E61" s="1"/>
      <c r="F61" s="1"/>
      <c r="G61" s="1" t="n">
        <v>2.3</v>
      </c>
      <c r="H61" s="2" t="str">
        <f aca="false">_xlfn.CONCAT(C61,":'",G61,"',")</f>
        <v>15:'2.3',</v>
      </c>
      <c r="I61" s="2" t="str">
        <f aca="false">_xlfn.CONCAT(E61,":'",G61,"',")</f>
        <v>:'2.3',</v>
      </c>
      <c r="J61" s="2" t="str">
        <f aca="false">CONCATENATE("if(${p_weight}&gt;0,",formula!$H61,",",formula!$I61,")")</f>
        <v>if(${p_weight}&gt;0,15:'2.3',,:'2.3',)</v>
      </c>
      <c r="K61" s="2" t="e">
        <f aca="false">GENERATEDRUGSTRING(formula!$C61,formula!$D61,formula!$G61,formula!$B$2:$B$19)</f>
        <v>#VALUE!</v>
      </c>
      <c r="L61" s="2" t="e">
        <f aca="false">CONCATENATE(formula!$K61,IF(TRIM(formula!$K61)="",""," "),IF(formula!$A61=A62,L62,""))</f>
        <v>#VALUE!</v>
      </c>
    </row>
    <row r="62" customFormat="false" ht="15.65" hidden="false" customHeight="false" outlineLevel="0" collapsed="false">
      <c r="A62" s="1" t="s">
        <v>31</v>
      </c>
      <c r="B62" s="1" t="str">
        <f aca="false">IF(formula!$A62&lt;&gt;A61,formula!$A62,"")</f>
        <v>diazepam_ml</v>
      </c>
      <c r="C62" s="1" t="n">
        <v>0</v>
      </c>
      <c r="D62" s="1" t="n">
        <v>3</v>
      </c>
      <c r="E62" s="1" t="n">
        <v>0</v>
      </c>
      <c r="F62" s="1" t="n">
        <v>2</v>
      </c>
      <c r="G62" s="1" t="n">
        <v>0</v>
      </c>
      <c r="H62" s="2" t="str">
        <f aca="false">_xlfn.CONCAT(C62,":'",G62,"',")</f>
        <v>0:'0',</v>
      </c>
      <c r="I62" s="2" t="str">
        <f aca="false">_xlfn.CONCAT(E62,":'",G62,"',")</f>
        <v>0:'0',</v>
      </c>
      <c r="J62" s="2" t="str">
        <f aca="false">CONCATENATE("if(${p_weight}&gt;0,",formula!$H62,",",formula!$I62,")")</f>
        <v>if(${p_weight}&gt;0,0:'0',,0:'0',)</v>
      </c>
      <c r="K62" s="2" t="e">
        <f aca="false">GENERATEDRUGSTRING(formula!$C62,formula!$D62,formula!$G62,formula!$B$2:$B$19)</f>
        <v>#VALUE!</v>
      </c>
      <c r="L62" s="2" t="e">
        <f aca="false">CONCATENATE(formula!$K62,IF(TRIM(formula!$K62)="",""," "),IF(formula!$A62=A63,L63,""))</f>
        <v>#VALUE!</v>
      </c>
    </row>
    <row r="63" customFormat="false" ht="15.65" hidden="false" customHeight="false" outlineLevel="0" collapsed="false">
      <c r="A63" s="1" t="s">
        <v>31</v>
      </c>
      <c r="B63" s="1" t="str">
        <f aca="false">IF(formula!$A63&lt;&gt;A62,formula!$A63,"")</f>
        <v/>
      </c>
      <c r="C63" s="1" t="n">
        <v>3</v>
      </c>
      <c r="D63" s="1" t="n">
        <v>6</v>
      </c>
      <c r="E63" s="1" t="n">
        <v>2</v>
      </c>
      <c r="F63" s="1" t="n">
        <v>5</v>
      </c>
      <c r="G63" s="1" t="n">
        <v>2</v>
      </c>
      <c r="H63" s="2" t="str">
        <f aca="false">_xlfn.CONCAT(C63,":'",G63,"',")</f>
        <v>3:'2',</v>
      </c>
      <c r="I63" s="2" t="str">
        <f aca="false">_xlfn.CONCAT(E63,":'",G63,"',")</f>
        <v>2:'2',</v>
      </c>
      <c r="J63" s="2" t="str">
        <f aca="false">CONCATENATE("if(${p_weight}&gt;0,",formula!$H63,",",formula!$I63,")")</f>
        <v>if(${p_weight}&gt;0,3:'2',,2:'2',)</v>
      </c>
      <c r="K63" s="2" t="e">
        <f aca="false">GENERATEDRUGSTRING(formula!$C63,formula!$D63,formula!$G63,formula!$B$2:$B$19)</f>
        <v>#VALUE!</v>
      </c>
      <c r="L63" s="2" t="e">
        <f aca="false">CONCATENATE(formula!$K63,IF(TRIM(formula!$K63)="",""," "),IF(formula!$A63=A64,L64,""))</f>
        <v>#VALUE!</v>
      </c>
    </row>
    <row r="64" customFormat="false" ht="15.65" hidden="false" customHeight="false" outlineLevel="0" collapsed="false">
      <c r="A64" s="1" t="s">
        <v>31</v>
      </c>
      <c r="B64" s="1" t="str">
        <f aca="false">IF(formula!$A64&lt;&gt;A63,formula!$A64,"")</f>
        <v/>
      </c>
      <c r="C64" s="1" t="n">
        <v>6</v>
      </c>
      <c r="D64" s="1" t="n">
        <v>10</v>
      </c>
      <c r="E64" s="1" t="n">
        <v>5</v>
      </c>
      <c r="F64" s="1" t="n">
        <v>12</v>
      </c>
      <c r="G64" s="1" t="n">
        <v>3.75</v>
      </c>
      <c r="H64" s="2" t="str">
        <f aca="false">_xlfn.CONCAT(C64,":'",G64,"',")</f>
        <v>6:'3.75',</v>
      </c>
      <c r="I64" s="2" t="str">
        <f aca="false">_xlfn.CONCAT(E64,":'",G64,"',")</f>
        <v>5:'3.75',</v>
      </c>
      <c r="J64" s="2" t="str">
        <f aca="false">CONCATENATE("if(${p_weight}&gt;0,",formula!$H64,",",formula!$I64,")")</f>
        <v>if(${p_weight}&gt;0,6:'3.75',,5:'3.75',)</v>
      </c>
      <c r="K64" s="2" t="e">
        <f aca="false">GENERATEDRUGSTRING(formula!$C64,formula!$D64,formula!$G64,formula!$B$2:$B$19)</f>
        <v>#VALUE!</v>
      </c>
      <c r="L64" s="2" t="e">
        <f aca="false">CONCATENATE(formula!$K64,IF(TRIM(formula!$K64)="",""," "),IF(formula!$A64=A65,L65,""))</f>
        <v>#VALUE!</v>
      </c>
    </row>
    <row r="65" customFormat="false" ht="15.65" hidden="false" customHeight="false" outlineLevel="0" collapsed="false">
      <c r="A65" s="1" t="s">
        <v>31</v>
      </c>
      <c r="B65" s="1" t="str">
        <f aca="false">IF(formula!$A65&lt;&gt;A64,formula!$A65,"")</f>
        <v/>
      </c>
      <c r="C65" s="1" t="n">
        <v>10</v>
      </c>
      <c r="D65" s="1" t="n">
        <v>15</v>
      </c>
      <c r="E65" s="1" t="n">
        <v>12</v>
      </c>
      <c r="F65" s="1" t="n">
        <v>36</v>
      </c>
      <c r="G65" s="1" t="n">
        <v>6</v>
      </c>
      <c r="H65" s="2" t="str">
        <f aca="false">_xlfn.CONCAT(C65,":'",G65,"',")</f>
        <v>10:'6',</v>
      </c>
      <c r="I65" s="2" t="str">
        <f aca="false">_xlfn.CONCAT(E65,":'",G65,"',")</f>
        <v>12:'6',</v>
      </c>
      <c r="J65" s="2" t="str">
        <f aca="false">CONCATENATE("if(${p_weight}&gt;0,",formula!$H65,",",formula!$I65,")")</f>
        <v>if(${p_weight}&gt;0,10:'6',,12:'6',)</v>
      </c>
      <c r="K65" s="2" t="e">
        <f aca="false">GENERATEDRUGSTRING(formula!$C65,formula!$D65,formula!$G65,formula!$B$2:$B$19)</f>
        <v>#VALUE!</v>
      </c>
      <c r="L65" s="2" t="e">
        <f aca="false">CONCATENATE(formula!$K65,IF(TRIM(formula!$K65)="",""," "),IF(formula!$A65=A66,L66,""))</f>
        <v>#VALUE!</v>
      </c>
    </row>
    <row r="66" customFormat="false" ht="15.65" hidden="false" customHeight="false" outlineLevel="0" collapsed="false">
      <c r="A66" s="1" t="s">
        <v>31</v>
      </c>
      <c r="B66" s="1" t="str">
        <f aca="false">IF(formula!$A66&lt;&gt;A65,formula!$A66,"")</f>
        <v/>
      </c>
      <c r="C66" s="1" t="n">
        <v>15</v>
      </c>
      <c r="D66" s="1" t="n">
        <v>20</v>
      </c>
      <c r="E66" s="1" t="n">
        <v>36</v>
      </c>
      <c r="F66" s="1" t="n">
        <v>61</v>
      </c>
      <c r="G66" s="1" t="n">
        <v>8.5</v>
      </c>
      <c r="H66" s="2" t="str">
        <f aca="false">_xlfn.CONCAT(C66,":'",G66,"',")</f>
        <v>15:'8.5',</v>
      </c>
      <c r="I66" s="2" t="str">
        <f aca="false">_xlfn.CONCAT(E66,":'",G66,"',")</f>
        <v>36:'8.5',</v>
      </c>
      <c r="J66" s="2" t="str">
        <f aca="false">CONCATENATE("if(${p_weight}&gt;0,",formula!$H66,",",formula!$I66,")")</f>
        <v>if(${p_weight}&gt;0,15:'8.5',,36:'8.5',)</v>
      </c>
      <c r="K66" s="2" t="e">
        <f aca="false">GENERATEDRUGSTRING(formula!$C66,formula!$D66,formula!$G66,formula!$B$2:$B$19)</f>
        <v>#VALUE!</v>
      </c>
      <c r="L66" s="2" t="e">
        <f aca="false">CONCATENATE(formula!$K66,IF(TRIM(formula!$K66)="",""," "),IF(formula!$A66=A67,L67,""))</f>
        <v>#VALUE!</v>
      </c>
    </row>
    <row r="67" customFormat="false" ht="15.65" hidden="false" customHeight="false" outlineLevel="0" collapsed="false">
      <c r="A67" s="1" t="s">
        <v>31</v>
      </c>
      <c r="B67" s="1" t="str">
        <f aca="false">IF(formula!$A67&lt;&gt;A66,formula!$A67,"")</f>
        <v/>
      </c>
      <c r="C67" s="1" t="n">
        <v>20</v>
      </c>
      <c r="D67" s="1" t="n">
        <v>100</v>
      </c>
      <c r="E67" s="1" t="n">
        <v>61</v>
      </c>
      <c r="F67" s="1" t="n">
        <v>99</v>
      </c>
      <c r="G67" s="1" t="n">
        <v>12.5</v>
      </c>
      <c r="H67" s="2" t="str">
        <f aca="false">_xlfn.CONCAT(C67,":'",G67,"',")</f>
        <v>20:'12.5',</v>
      </c>
      <c r="I67" s="2" t="str">
        <f aca="false">_xlfn.CONCAT(E67,":'",G67,"',")</f>
        <v>61:'12.5',</v>
      </c>
      <c r="J67" s="2" t="str">
        <f aca="false">CONCATENATE("if(${p_weight}&gt;0,",formula!$H67,",",formula!$I67,")")</f>
        <v>if(${p_weight}&gt;0,20:'12.5',,61:'12.5',)</v>
      </c>
      <c r="K67" s="2" t="e">
        <f aca="false">GENERATEDRUGSTRING(formula!$C67,formula!$D67,formula!$G67,formula!$B$2:$B$19)</f>
        <v>#VALUE!</v>
      </c>
      <c r="L67" s="2" t="e">
        <f aca="false">CONCATENATE(formula!$K67,IF(TRIM(formula!$K67)="",""," "),IF(formula!$A67=A68,L68,""))</f>
        <v>#VALUE!</v>
      </c>
    </row>
    <row r="68" customFormat="false" ht="15.65" hidden="false" customHeight="false" outlineLevel="0" collapsed="false">
      <c r="A68" s="1" t="s">
        <v>32</v>
      </c>
      <c r="B68" s="1" t="str">
        <f aca="false">IF(formula!$A68&lt;&gt;A67,formula!$A68,"")</f>
        <v>phenobarbital_15_ml</v>
      </c>
      <c r="C68" s="1" t="n">
        <v>0</v>
      </c>
      <c r="D68" s="1" t="n">
        <v>6</v>
      </c>
      <c r="E68" s="1" t="n">
        <v>0</v>
      </c>
      <c r="F68" s="1" t="n">
        <v>5</v>
      </c>
      <c r="G68" s="1" t="n">
        <v>0.4</v>
      </c>
      <c r="H68" s="2" t="str">
        <f aca="false">_xlfn.CONCAT(C68,":'",G68,"',")</f>
        <v>0:'0.4',</v>
      </c>
      <c r="I68" s="2" t="str">
        <f aca="false">_xlfn.CONCAT(E68,":'",G68,"',")</f>
        <v>0:'0.4',</v>
      </c>
      <c r="J68" s="2" t="str">
        <f aca="false">CONCATENATE("if(${p_weight}&gt;0,",formula!$H68,",",formula!$I68,")")</f>
        <v>if(${p_weight}&gt;0,0:'0.4',,0:'0.4',)</v>
      </c>
      <c r="K68" s="2" t="e">
        <f aca="false">GENERATEDRUGSTRING(formula!$C68,formula!$D68,formula!$G68,formula!$B$2:$B$19)</f>
        <v>#VALUE!</v>
      </c>
      <c r="L68" s="2" t="e">
        <f aca="false">CONCATENATE(formula!$K68,IF(TRIM(formula!$K68)="",""," "),IF(formula!$A68=A69,L69,""))</f>
        <v>#VALUE!</v>
      </c>
    </row>
    <row r="69" customFormat="false" ht="15.65" hidden="false" customHeight="false" outlineLevel="0" collapsed="false">
      <c r="A69" s="1" t="s">
        <v>32</v>
      </c>
      <c r="B69" s="1" t="str">
        <f aca="false">IF(formula!$A69&lt;&gt;A68,formula!$A69,"")</f>
        <v/>
      </c>
      <c r="C69" s="1" t="n">
        <v>6</v>
      </c>
      <c r="D69" s="1" t="n">
        <v>10</v>
      </c>
      <c r="E69" s="1" t="n">
        <v>5</v>
      </c>
      <c r="F69" s="1" t="n">
        <v>12</v>
      </c>
      <c r="G69" s="1" t="n">
        <v>0.6</v>
      </c>
      <c r="H69" s="2" t="str">
        <f aca="false">_xlfn.CONCAT(C69,":'",G69,"',")</f>
        <v>6:'0.6',</v>
      </c>
      <c r="I69" s="2" t="str">
        <f aca="false">_xlfn.CONCAT(E69,":'",G69,"',")</f>
        <v>5:'0.6',</v>
      </c>
      <c r="J69" s="2" t="str">
        <f aca="false">CONCATENATE("if(${p_weight}&gt;0,",formula!$H69,",",formula!$I69,")")</f>
        <v>if(${p_weight}&gt;0,6:'0.6',,5:'0.6',)</v>
      </c>
      <c r="K69" s="2" t="e">
        <f aca="false">GENERATEDRUGSTRING(formula!$C69,formula!$D69,formula!$G69,formula!$B$2:$B$19)</f>
        <v>#VALUE!</v>
      </c>
      <c r="L69" s="2" t="e">
        <f aca="false">CONCATENATE(formula!$K69,IF(TRIM(formula!$K69)="",""," "),IF(formula!$A69=A70,L70,""))</f>
        <v>#VALUE!</v>
      </c>
    </row>
    <row r="70" customFormat="false" ht="15.65" hidden="false" customHeight="false" outlineLevel="0" collapsed="false">
      <c r="A70" s="1" t="s">
        <v>32</v>
      </c>
      <c r="B70" s="1" t="str">
        <f aca="false">IF(formula!$A70&lt;&gt;A69,formula!$A70,"")</f>
        <v/>
      </c>
      <c r="C70" s="1" t="n">
        <v>10</v>
      </c>
      <c r="D70" s="1" t="n">
        <v>15</v>
      </c>
      <c r="E70" s="1" t="n">
        <v>12</v>
      </c>
      <c r="F70" s="1" t="n">
        <v>36</v>
      </c>
      <c r="G70" s="1" t="n">
        <v>1</v>
      </c>
      <c r="H70" s="2" t="str">
        <f aca="false">_xlfn.CONCAT(C70,":'",G70,"',")</f>
        <v>10:'1',</v>
      </c>
      <c r="I70" s="2" t="str">
        <f aca="false">_xlfn.CONCAT(E70,":'",G70,"',")</f>
        <v>12:'1',</v>
      </c>
      <c r="J70" s="2" t="str">
        <f aca="false">CONCATENATE("if(${p_weight}&gt;0,",formula!$H70,",",formula!$I70,")")</f>
        <v>if(${p_weight}&gt;0,10:'1',,12:'1',)</v>
      </c>
      <c r="K70" s="2" t="e">
        <f aca="false">GENERATEDRUGSTRING(formula!$C70,formula!$D70,formula!$G70,formula!$B$2:$B$19)</f>
        <v>#VALUE!</v>
      </c>
      <c r="L70" s="2" t="e">
        <f aca="false">CONCATENATE(formula!$K70,IF(TRIM(formula!$K70)="",""," "),IF(formula!$A70=A71,L71,""))</f>
        <v>#VALUE!</v>
      </c>
    </row>
    <row r="71" customFormat="false" ht="15.65" hidden="false" customHeight="false" outlineLevel="0" collapsed="false">
      <c r="A71" s="1" t="s">
        <v>32</v>
      </c>
      <c r="B71" s="1" t="str">
        <f aca="false">IF(formula!$A71&lt;&gt;A70,formula!$A71,"")</f>
        <v/>
      </c>
      <c r="C71" s="1" t="n">
        <v>15</v>
      </c>
      <c r="D71" s="1" t="n">
        <v>20</v>
      </c>
      <c r="E71" s="1" t="n">
        <v>36</v>
      </c>
      <c r="F71" s="1" t="n">
        <v>60</v>
      </c>
      <c r="G71" s="1" t="n">
        <v>1.5</v>
      </c>
      <c r="H71" s="2" t="str">
        <f aca="false">_xlfn.CONCAT(C71,":'",G71,"',")</f>
        <v>15:'1.5',</v>
      </c>
      <c r="I71" s="2" t="str">
        <f aca="false">_xlfn.CONCAT(E71,":'",G71,"',")</f>
        <v>36:'1.5',</v>
      </c>
      <c r="J71" s="2" t="str">
        <f aca="false">CONCATENATE("if(${p_weight}&gt;0,",formula!$H71,",",formula!$I71,")")</f>
        <v>if(${p_weight}&gt;0,15:'1.5',,36:'1.5',)</v>
      </c>
      <c r="K71" s="2" t="e">
        <f aca="false">GENERATEDRUGSTRING(formula!$C71,formula!$D71,formula!$G71,formula!$B$2:$B$19)</f>
        <v>#VALUE!</v>
      </c>
      <c r="L71" s="2" t="e">
        <f aca="false">CONCATENATE(formula!$K71,IF(TRIM(formula!$K71)="",""," "),IF(formula!$A71=A72,L72,""))</f>
        <v>#VALUE!</v>
      </c>
    </row>
    <row r="72" customFormat="false" ht="15.65" hidden="false" customHeight="false" outlineLevel="0" collapsed="false">
      <c r="A72" s="1" t="s">
        <v>32</v>
      </c>
      <c r="B72" s="1" t="str">
        <f aca="false">IF(formula!$A72&lt;&gt;A71,formula!$A72,"")</f>
        <v/>
      </c>
      <c r="C72" s="1" t="n">
        <v>20</v>
      </c>
      <c r="D72" s="1" t="n">
        <v>100</v>
      </c>
      <c r="E72" s="1" t="n">
        <v>60</v>
      </c>
      <c r="F72" s="1" t="n">
        <v>99</v>
      </c>
      <c r="G72" s="1" t="n">
        <v>2</v>
      </c>
      <c r="H72" s="2" t="str">
        <f aca="false">_xlfn.CONCAT(C72,":'",G72,"',")</f>
        <v>20:'2',</v>
      </c>
      <c r="I72" s="2" t="str">
        <f aca="false">_xlfn.CONCAT(E72,":'",G72,"',")</f>
        <v>60:'2',</v>
      </c>
      <c r="J72" s="2" t="str">
        <f aca="false">CONCATENATE("if(${p_weight}&gt;0,",formula!$H72,",",formula!$I72,")")</f>
        <v>if(${p_weight}&gt;0,20:'2',,60:'2',)</v>
      </c>
      <c r="K72" s="2" t="e">
        <f aca="false">GENERATEDRUGSTRING(formula!$C72,formula!$D72,formula!$G72,formula!$B$2:$B$19)</f>
        <v>#VALUE!</v>
      </c>
      <c r="L72" s="2" t="e">
        <f aca="false">CONCATENATE(formula!$K72,IF(TRIM(formula!$K72)="",""," "),IF(formula!$A72=A73,L73,""))</f>
        <v>#VALUE!</v>
      </c>
    </row>
    <row r="73" customFormat="false" ht="15.65" hidden="false" customHeight="false" outlineLevel="0" collapsed="false">
      <c r="A73" s="1" t="s">
        <v>33</v>
      </c>
      <c r="B73" s="1" t="str">
        <f aca="false">IF(formula!$A73&lt;&gt;A72,formula!$A73,"")</f>
        <v>phenobarbital_5_ml</v>
      </c>
      <c r="C73" s="1" t="n">
        <v>0</v>
      </c>
      <c r="D73" s="1" t="n">
        <v>6</v>
      </c>
      <c r="E73" s="1" t="n">
        <v>0</v>
      </c>
      <c r="F73" s="1" t="n">
        <v>5</v>
      </c>
      <c r="G73" s="1" t="n">
        <v>0.1</v>
      </c>
      <c r="H73" s="2" t="str">
        <f aca="false">_xlfn.CONCAT(C73,":'",G73,"',")</f>
        <v>0:'0.1',</v>
      </c>
      <c r="I73" s="2" t="str">
        <f aca="false">_xlfn.CONCAT(E73,":'",G73,"',")</f>
        <v>0:'0.1',</v>
      </c>
      <c r="J73" s="2" t="str">
        <f aca="false">CONCATENATE("if(${p_weight}&gt;0,",formula!$H73,",",formula!$I73,")")</f>
        <v>if(${p_weight}&gt;0,0:'0.1',,0:'0.1',)</v>
      </c>
      <c r="K73" s="2" t="e">
        <f aca="false">GENERATEDRUGSTRING(formula!$C73,formula!$D73,formula!$G73,formula!$B$2:$B$19)</f>
        <v>#VALUE!</v>
      </c>
      <c r="L73" s="2" t="e">
        <f aca="false">CONCATENATE(formula!$K73,IF(TRIM(formula!$K73)="",""," "),IF(formula!$A73=A74,L74,""))</f>
        <v>#VALUE!</v>
      </c>
    </row>
    <row r="74" customFormat="false" ht="15.65" hidden="false" customHeight="false" outlineLevel="0" collapsed="false">
      <c r="A74" s="1" t="s">
        <v>33</v>
      </c>
      <c r="B74" s="1" t="str">
        <f aca="false">IF(formula!$A74&lt;&gt;A73,formula!$A74,"")</f>
        <v/>
      </c>
      <c r="C74" s="1" t="n">
        <v>6</v>
      </c>
      <c r="D74" s="1" t="n">
        <v>10</v>
      </c>
      <c r="E74" s="1" t="n">
        <v>5</v>
      </c>
      <c r="F74" s="1" t="n">
        <v>12</v>
      </c>
      <c r="G74" s="1" t="n">
        <v>0.2</v>
      </c>
      <c r="H74" s="2" t="str">
        <f aca="false">_xlfn.CONCAT(C74,":'",G74,"',")</f>
        <v>6:'0.2',</v>
      </c>
      <c r="I74" s="2" t="str">
        <f aca="false">_xlfn.CONCAT(E74,":'",G74,"',")</f>
        <v>5:'0.2',</v>
      </c>
      <c r="J74" s="2" t="str">
        <f aca="false">CONCATENATE("if(${p_weight}&gt;0,",formula!$H74,",",formula!$I74,")")</f>
        <v>if(${p_weight}&gt;0,6:'0.2',,5:'0.2',)</v>
      </c>
      <c r="K74" s="2" t="e">
        <f aca="false">GENERATEDRUGSTRING(formula!$C74,formula!$D74,formula!$G74,formula!$B$2:$B$19)</f>
        <v>#VALUE!</v>
      </c>
      <c r="L74" s="2" t="e">
        <f aca="false">CONCATENATE(formula!$K74,IF(TRIM(formula!$K74)="",""," "),IF(formula!$A74=A75,L75,""))</f>
        <v>#VALUE!</v>
      </c>
    </row>
    <row r="75" customFormat="false" ht="15.65" hidden="false" customHeight="false" outlineLevel="0" collapsed="false">
      <c r="A75" s="1" t="s">
        <v>33</v>
      </c>
      <c r="B75" s="1" t="str">
        <f aca="false">IF(formula!$A75&lt;&gt;A74,formula!$A75,"")</f>
        <v/>
      </c>
      <c r="C75" s="1" t="n">
        <v>10</v>
      </c>
      <c r="D75" s="1" t="n">
        <v>15</v>
      </c>
      <c r="E75" s="1" t="n">
        <v>12</v>
      </c>
      <c r="F75" s="1" t="n">
        <v>36</v>
      </c>
      <c r="G75" s="1" t="n">
        <v>0.4</v>
      </c>
      <c r="H75" s="2" t="str">
        <f aca="false">_xlfn.CONCAT(C75,":'",G75,"',")</f>
        <v>10:'0.4',</v>
      </c>
      <c r="I75" s="2" t="str">
        <f aca="false">_xlfn.CONCAT(E75,":'",G75,"',")</f>
        <v>12:'0.4',</v>
      </c>
      <c r="J75" s="2" t="str">
        <f aca="false">CONCATENATE("if(${p_weight}&gt;0,",formula!$H75,",",formula!$I75,")")</f>
        <v>if(${p_weight}&gt;0,10:'0.4',,12:'0.4',)</v>
      </c>
      <c r="K75" s="2" t="e">
        <f aca="false">GENERATEDRUGSTRING(formula!$C75,formula!$D75,formula!$G75,formula!$B$2:$B$19)</f>
        <v>#VALUE!</v>
      </c>
      <c r="L75" s="2" t="e">
        <f aca="false">CONCATENATE(formula!$K75,IF(TRIM(formula!$K75)="",""," "),IF(formula!$A75=A76,L76,""))</f>
        <v>#VALUE!</v>
      </c>
    </row>
    <row r="76" customFormat="false" ht="15.65" hidden="false" customHeight="false" outlineLevel="0" collapsed="false">
      <c r="A76" s="1" t="s">
        <v>33</v>
      </c>
      <c r="B76" s="1" t="str">
        <f aca="false">IF(formula!$A76&lt;&gt;A75,formula!$A76,"")</f>
        <v/>
      </c>
      <c r="C76" s="1" t="n">
        <v>15</v>
      </c>
      <c r="D76" s="1" t="n">
        <v>20</v>
      </c>
      <c r="E76" s="1" t="n">
        <v>36</v>
      </c>
      <c r="F76" s="1" t="n">
        <v>60</v>
      </c>
      <c r="G76" s="1" t="n">
        <v>0.5</v>
      </c>
      <c r="H76" s="2" t="str">
        <f aca="false">_xlfn.CONCAT(C76,":'",G76,"',")</f>
        <v>15:'0.5',</v>
      </c>
      <c r="I76" s="2" t="str">
        <f aca="false">_xlfn.CONCAT(E76,":'",G76,"',")</f>
        <v>36:'0.5',</v>
      </c>
      <c r="J76" s="2" t="str">
        <f aca="false">CONCATENATE("if(${p_weight}&gt;0,",formula!$H76,",",formula!$I76,")")</f>
        <v>if(${p_weight}&gt;0,15:'0.5',,36:'0.5',)</v>
      </c>
      <c r="K76" s="2" t="e">
        <f aca="false">GENERATEDRUGSTRING(formula!$C76,formula!$D76,formula!$G76,formula!$B$2:$B$19)</f>
        <v>#VALUE!</v>
      </c>
      <c r="L76" s="2" t="e">
        <f aca="false">CONCATENATE(formula!$K76,IF(TRIM(formula!$K76)="",""," "),IF(formula!$A76=A77,L77,""))</f>
        <v>#VALUE!</v>
      </c>
    </row>
    <row r="77" customFormat="false" ht="15.65" hidden="false" customHeight="false" outlineLevel="0" collapsed="false">
      <c r="A77" s="1" t="s">
        <v>33</v>
      </c>
      <c r="B77" s="1" t="str">
        <f aca="false">IF(formula!$A77&lt;&gt;A76,formula!$A77,"")</f>
        <v/>
      </c>
      <c r="C77" s="1" t="n">
        <v>20</v>
      </c>
      <c r="D77" s="1" t="n">
        <v>100</v>
      </c>
      <c r="E77" s="1" t="n">
        <v>60</v>
      </c>
      <c r="F77" s="1" t="n">
        <v>99</v>
      </c>
      <c r="G77" s="1" t="n">
        <v>0.7</v>
      </c>
      <c r="H77" s="2" t="str">
        <f aca="false">_xlfn.CONCAT(C77,":'",G77,"',")</f>
        <v>20:'0.7',</v>
      </c>
      <c r="I77" s="2" t="str">
        <f aca="false">_xlfn.CONCAT(E77,":'",G77,"',")</f>
        <v>60:'0.7',</v>
      </c>
      <c r="J77" s="2" t="str">
        <f aca="false">CONCATENATE("if(${p_weight}&gt;0,",formula!$H77,",",formula!$I77,")")</f>
        <v>if(${p_weight}&gt;0,20:'0.7',,60:'0.7',)</v>
      </c>
      <c r="K77" s="2" t="e">
        <f aca="false">GENERATEDRUGSTRING(formula!$C77,formula!$D77,formula!$G77,formula!$B$2:$B$19)</f>
        <v>#VALUE!</v>
      </c>
      <c r="L77" s="2" t="e">
        <f aca="false">CONCATENATE(formula!$K77,IF(TRIM(formula!$K77)="",""," "),IF(formula!$A77=A78,L78,""))</f>
        <v>#VALUE!</v>
      </c>
    </row>
    <row r="78" customFormat="false" ht="15.65" hidden="false" customHeight="false" outlineLevel="0" collapsed="false">
      <c r="A78" s="1" t="s">
        <v>34</v>
      </c>
      <c r="B78" s="1" t="str">
        <f aca="false">IF(formula!$A78&lt;&gt;A77,formula!$A78,"")</f>
        <v>zinc_tab</v>
      </c>
      <c r="C78" s="1"/>
      <c r="D78" s="1"/>
      <c r="E78" s="1" t="n">
        <v>2</v>
      </c>
      <c r="F78" s="1" t="n">
        <v>6</v>
      </c>
      <c r="G78" s="1" t="s">
        <v>24</v>
      </c>
      <c r="H78" s="2" t="str">
        <f aca="false">_xlfn.CONCAT(C78,":'",G78,"',")</f>
        <v>:'1/2',</v>
      </c>
      <c r="I78" s="2" t="str">
        <f aca="false">_xlfn.CONCAT(E78,":'",G78,"',")</f>
        <v>2:'1/2',</v>
      </c>
      <c r="J78" s="2" t="str">
        <f aca="false">CONCATENATE("if(${p_weight}&gt;0,",formula!$H78,",",formula!$I78,")")</f>
        <v>if(${p_weight}&gt;0,:'1/2',,2:'1/2',)</v>
      </c>
      <c r="K78" s="2" t="e">
        <f aca="false">GENERATEDRUGSTRING(formula!$C78,formula!$D78,formula!$G78,formula!$B$2:$B$19)</f>
        <v>#VALUE!</v>
      </c>
      <c r="L78" s="2" t="e">
        <f aca="false">CONCATENATE(formula!$K78,IF(TRIM(formula!$K78)="",""," "),IF(formula!$A78=A79,L79,""))</f>
        <v>#VALUE!</v>
      </c>
    </row>
    <row r="79" customFormat="false" ht="15.65" hidden="false" customHeight="false" outlineLevel="0" collapsed="false">
      <c r="A79" s="1" t="s">
        <v>34</v>
      </c>
      <c r="B79" s="1" t="str">
        <f aca="false">IF(formula!$A79&lt;&gt;A78,formula!$A79,"")</f>
        <v/>
      </c>
      <c r="C79" s="1"/>
      <c r="D79" s="1"/>
      <c r="E79" s="1" t="n">
        <v>6</v>
      </c>
      <c r="F79" s="1" t="n">
        <v>61</v>
      </c>
      <c r="G79" s="1" t="n">
        <v>1</v>
      </c>
      <c r="H79" s="2" t="str">
        <f aca="false">_xlfn.CONCAT(C79,":'",G79,"',")</f>
        <v>:'1',</v>
      </c>
      <c r="I79" s="2" t="str">
        <f aca="false">_xlfn.CONCAT(E79,":'",G79,"',")</f>
        <v>6:'1',</v>
      </c>
      <c r="J79" s="2" t="str">
        <f aca="false">CONCATENATE("if(${p_weight}&gt;0,",formula!$H79,",",formula!$I79,")")</f>
        <v>if(${p_weight}&gt;0,:'1',,6:'1',)</v>
      </c>
      <c r="K79" s="2" t="e">
        <f aca="false">GENERATEDRUGSTRING(formula!$C79,formula!$D79,formula!$G79,formula!$B$2:$B$19)</f>
        <v>#VALUE!</v>
      </c>
      <c r="L79" s="2" t="e">
        <f aca="false">CONCATENATE(formula!$K79,IF(TRIM(formula!$K79)="",""," "),IF(formula!$A79=A80,L80,""))</f>
        <v>#VALUE!</v>
      </c>
    </row>
    <row r="80" customFormat="false" ht="15.65" hidden="false" customHeight="false" outlineLevel="0" collapsed="false">
      <c r="A80" s="1" t="s">
        <v>35</v>
      </c>
      <c r="B80" s="1" t="str">
        <f aca="false">IF(formula!$A80&lt;&gt;A79,formula!$A80,"")</f>
        <v>paracetamol_ml</v>
      </c>
      <c r="C80" s="1" t="n">
        <v>0</v>
      </c>
      <c r="D80" s="1" t="n">
        <v>6</v>
      </c>
      <c r="E80" s="1" t="n">
        <v>2</v>
      </c>
      <c r="F80" s="1" t="n">
        <v>4</v>
      </c>
      <c r="G80" s="1" t="n">
        <v>3</v>
      </c>
      <c r="H80" s="2" t="str">
        <f aca="false">_xlfn.CONCAT(C80,":'",G80,"',")</f>
        <v>0:'3',</v>
      </c>
      <c r="I80" s="2" t="str">
        <f aca="false">_xlfn.CONCAT(E80,":'",G80,"',")</f>
        <v>2:'3',</v>
      </c>
      <c r="J80" s="2" t="str">
        <f aca="false">CONCATENATE("if(${p_weight}&gt;0,",formula!$H80,",",formula!$I80,")")</f>
        <v>if(${p_weight}&gt;0,0:'3',,2:'3',)</v>
      </c>
      <c r="K80" s="2" t="e">
        <f aca="false">GENERATEDRUGSTRING(formula!$C80,formula!$D80,formula!$G80,formula!$B$2:$B$19)</f>
        <v>#VALUE!</v>
      </c>
      <c r="L80" s="2" t="e">
        <f aca="false">CONCATENATE(formula!$K80,IF(TRIM(formula!$K80)="",""," "),IF(formula!$A80=A81,L81,""))</f>
        <v>#VALUE!</v>
      </c>
    </row>
    <row r="81" customFormat="false" ht="15.65" hidden="false" customHeight="false" outlineLevel="0" collapsed="false">
      <c r="A81" s="1" t="s">
        <v>35</v>
      </c>
      <c r="B81" s="1" t="str">
        <f aca="false">IF(formula!$A81&lt;&gt;A80,formula!$A81,"")</f>
        <v/>
      </c>
      <c r="C81" s="1" t="n">
        <v>6</v>
      </c>
      <c r="D81" s="1" t="n">
        <v>10</v>
      </c>
      <c r="E81" s="1" t="n">
        <v>4</v>
      </c>
      <c r="F81" s="1" t="n">
        <v>12</v>
      </c>
      <c r="G81" s="1" t="n">
        <v>5</v>
      </c>
      <c r="H81" s="2" t="str">
        <f aca="false">_xlfn.CONCAT(C81,":'",G81,"',")</f>
        <v>6:'5',</v>
      </c>
      <c r="I81" s="2" t="str">
        <f aca="false">_xlfn.CONCAT(E81,":'",G81,"',")</f>
        <v>4:'5',</v>
      </c>
      <c r="J81" s="2" t="str">
        <f aca="false">CONCATENATE("if(${p_weight}&gt;0,",formula!$H81,",",formula!$I81,")")</f>
        <v>if(${p_weight}&gt;0,6:'5',,4:'5',)</v>
      </c>
      <c r="K81" s="2" t="e">
        <f aca="false">GENERATEDRUGSTRING(formula!$C81,formula!$D81,formula!$G81,formula!$B$2:$B$19)</f>
        <v>#VALUE!</v>
      </c>
      <c r="L81" s="2" t="e">
        <f aca="false">CONCATENATE(formula!$K81,IF(TRIM(formula!$K81)="",""," "),IF(formula!$A81=A82,L82,""))</f>
        <v>#VALUE!</v>
      </c>
    </row>
    <row r="82" customFormat="false" ht="15.65" hidden="false" customHeight="false" outlineLevel="0" collapsed="false">
      <c r="A82" s="1" t="s">
        <v>35</v>
      </c>
      <c r="B82" s="1" t="str">
        <f aca="false">IF(formula!$A82&lt;&gt;A81,formula!$A82,"")</f>
        <v/>
      </c>
      <c r="C82" s="1" t="n">
        <v>10</v>
      </c>
      <c r="D82" s="1" t="n">
        <v>15</v>
      </c>
      <c r="E82" s="1" t="n">
        <v>12</v>
      </c>
      <c r="F82" s="1" t="n">
        <v>36</v>
      </c>
      <c r="G82" s="1" t="n">
        <v>8</v>
      </c>
      <c r="H82" s="2" t="str">
        <f aca="false">_xlfn.CONCAT(C82,":'",G82,"',")</f>
        <v>10:'8',</v>
      </c>
      <c r="I82" s="2" t="str">
        <f aca="false">_xlfn.CONCAT(E82,":'",G82,"',")</f>
        <v>12:'8',</v>
      </c>
      <c r="J82" s="2" t="str">
        <f aca="false">CONCATENATE("if(${p_weight}&gt;0,",formula!$H82,",",formula!$I82,")")</f>
        <v>if(${p_weight}&gt;0,10:'8',,12:'8',)</v>
      </c>
      <c r="K82" s="2" t="e">
        <f aca="false">GENERATEDRUGSTRING(formula!$C82,formula!$D82,formula!$G82,formula!$B$2:$B$19)</f>
        <v>#VALUE!</v>
      </c>
      <c r="L82" s="2" t="e">
        <f aca="false">CONCATENATE(formula!$K82,IF(TRIM(formula!$K82)="",""," "),IF(formula!$A82=A83,L83,""))</f>
        <v>#VALUE!</v>
      </c>
    </row>
    <row r="83" customFormat="false" ht="15.65" hidden="false" customHeight="false" outlineLevel="0" collapsed="false">
      <c r="A83" s="1" t="s">
        <v>35</v>
      </c>
      <c r="B83" s="1" t="str">
        <f aca="false">IF(formula!$A83&lt;&gt;A82,formula!$A83,"")</f>
        <v/>
      </c>
      <c r="C83" s="1" t="n">
        <v>15</v>
      </c>
      <c r="D83" s="1" t="n">
        <v>100</v>
      </c>
      <c r="E83" s="1" t="n">
        <v>36</v>
      </c>
      <c r="F83" s="1" t="n">
        <v>61</v>
      </c>
      <c r="G83" s="1" t="n">
        <v>10</v>
      </c>
      <c r="H83" s="2" t="str">
        <f aca="false">_xlfn.CONCAT(C83,":'",G83,"',")</f>
        <v>15:'10',</v>
      </c>
      <c r="I83" s="2" t="str">
        <f aca="false">_xlfn.CONCAT(E83,":'",G83,"',")</f>
        <v>36:'10',</v>
      </c>
      <c r="J83" s="2" t="str">
        <f aca="false">CONCATENATE("if(${p_weight}&gt;0,",formula!$H83,",",formula!$I83,")")</f>
        <v>if(${p_weight}&gt;0,15:'10',,36:'10',)</v>
      </c>
      <c r="K83" s="2" t="e">
        <f aca="false">GENERATEDRUGSTRING(formula!$C83,formula!$D83,formula!$G83,formula!$B$2:$B$19)</f>
        <v>#VALUE!</v>
      </c>
      <c r="L83" s="2" t="e">
        <f aca="false">CONCATENATE(formula!$K83,IF(TRIM(formula!$K83)="",""," "),IF(formula!$A83=A84,L84,""))</f>
        <v>#VALUE!</v>
      </c>
    </row>
    <row r="84" customFormat="false" ht="15.65" hidden="false" customHeight="false" outlineLevel="0" collapsed="false">
      <c r="A84" s="1" t="s">
        <v>36</v>
      </c>
      <c r="B84" s="1" t="str">
        <f aca="false">IF(formula!$A84&lt;&gt;A83,formula!$A84,"")</f>
        <v>paracetamol_tab</v>
      </c>
      <c r="C84" s="1" t="n">
        <v>0</v>
      </c>
      <c r="D84" s="1" t="n">
        <v>6</v>
      </c>
      <c r="E84" s="1" t="n">
        <v>0</v>
      </c>
      <c r="F84" s="1" t="n">
        <v>4</v>
      </c>
      <c r="G84" s="4" t="s">
        <v>37</v>
      </c>
      <c r="H84" s="2" t="str">
        <f aca="false">_xlfn.CONCAT(C84,":'",G84,"',")</f>
        <v>0:'0',</v>
      </c>
      <c r="I84" s="2" t="str">
        <f aca="false">_xlfn.CONCAT(E84,":'",G84,"',")</f>
        <v>0:'0',</v>
      </c>
      <c r="J84" s="2" t="str">
        <f aca="false">CONCATENATE("if(${p_weight}&gt;0,",formula!$H84,",",formula!$I84,")")</f>
        <v>if(${p_weight}&gt;0,0:'0',,0:'0',)</v>
      </c>
      <c r="K84" s="2" t="e">
        <f aca="false">GENERATEDRUGSTRING(formula!$C84,formula!$D84,formula!$G84,formula!$B$2:$B$19)</f>
        <v>#VALUE!</v>
      </c>
      <c r="L84" s="2" t="e">
        <f aca="false">CONCATENATE(formula!$K84,IF(TRIM(formula!$K84)="",""," "),IF(formula!$A84=A85,L85,""))</f>
        <v>#VALUE!</v>
      </c>
    </row>
    <row r="85" customFormat="false" ht="15.65" hidden="false" customHeight="false" outlineLevel="0" collapsed="false">
      <c r="A85" s="1" t="s">
        <v>36</v>
      </c>
      <c r="B85" s="1" t="str">
        <f aca="false">IF(formula!$A85&lt;&gt;A84,formula!$A85,"")</f>
        <v/>
      </c>
      <c r="C85" s="1" t="n">
        <v>6</v>
      </c>
      <c r="D85" s="1" t="n">
        <v>10</v>
      </c>
      <c r="E85" s="1" t="n">
        <v>4</v>
      </c>
      <c r="F85" s="1" t="n">
        <v>12</v>
      </c>
      <c r="G85" s="1" t="s">
        <v>23</v>
      </c>
      <c r="H85" s="2" t="str">
        <f aca="false">_xlfn.CONCAT(C85,":'",G85,"',")</f>
        <v>6:'1/4',</v>
      </c>
      <c r="I85" s="2" t="str">
        <f aca="false">_xlfn.CONCAT(E85,":'",G85,"',")</f>
        <v>4:'1/4',</v>
      </c>
      <c r="J85" s="2" t="str">
        <f aca="false">CONCATENATE("if(${p_weight}&gt;0,",formula!$H85,",",formula!$I85,")")</f>
        <v>if(${p_weight}&gt;0,6:'1/4',,4:'1/4',)</v>
      </c>
      <c r="K85" s="2" t="e">
        <f aca="false">GENERATEDRUGSTRING(formula!$C85,formula!$D85,formula!$G85,formula!$B$2:$B$19)</f>
        <v>#VALUE!</v>
      </c>
      <c r="L85" s="2" t="e">
        <f aca="false">CONCATENATE(formula!$K85,IF(TRIM(formula!$K85)="",""," "),IF(formula!$A85=A86,L86,""))</f>
        <v>#VALUE!</v>
      </c>
    </row>
    <row r="86" customFormat="false" ht="15.65" hidden="false" customHeight="false" outlineLevel="0" collapsed="false">
      <c r="A86" s="1" t="s">
        <v>36</v>
      </c>
      <c r="B86" s="1" t="str">
        <f aca="false">IF(formula!$A86&lt;&gt;A85,formula!$A86,"")</f>
        <v/>
      </c>
      <c r="C86" s="1" t="n">
        <v>10</v>
      </c>
      <c r="D86" s="1" t="n">
        <v>15</v>
      </c>
      <c r="E86" s="1" t="n">
        <v>12</v>
      </c>
      <c r="F86" s="1" t="n">
        <v>36</v>
      </c>
      <c r="G86" s="1" t="s">
        <v>23</v>
      </c>
      <c r="H86" s="2" t="str">
        <f aca="false">_xlfn.CONCAT(C86,":'",G86,"',")</f>
        <v>10:'1/4',</v>
      </c>
      <c r="I86" s="2" t="str">
        <f aca="false">_xlfn.CONCAT(E86,":'",G86,"',")</f>
        <v>12:'1/4',</v>
      </c>
      <c r="J86" s="2" t="str">
        <f aca="false">CONCATENATE("if(${p_weight}&gt;0,",formula!$H86,",",formula!$I86,")")</f>
        <v>if(${p_weight}&gt;0,10:'1/4',,12:'1/4',)</v>
      </c>
      <c r="K86" s="2" t="e">
        <f aca="false">GENERATEDRUGSTRING(formula!$C86,formula!$D86,formula!$G86,formula!$B$2:$B$19)</f>
        <v>#VALUE!</v>
      </c>
      <c r="L86" s="2" t="e">
        <f aca="false">CONCATENATE(formula!$K86,IF(TRIM(formula!$K86)="",""," "),IF(formula!$A86=A87,L87,""))</f>
        <v>#VALUE!</v>
      </c>
    </row>
    <row r="87" customFormat="false" ht="15.65" hidden="false" customHeight="false" outlineLevel="0" collapsed="false">
      <c r="A87" s="1" t="s">
        <v>36</v>
      </c>
      <c r="B87" s="1" t="str">
        <f aca="false">IF(formula!$A87&lt;&gt;A86,formula!$A87,"")</f>
        <v/>
      </c>
      <c r="C87" s="1" t="n">
        <v>15</v>
      </c>
      <c r="D87" s="1" t="n">
        <v>100</v>
      </c>
      <c r="E87" s="1" t="n">
        <v>36</v>
      </c>
      <c r="F87" s="1" t="n">
        <v>61</v>
      </c>
      <c r="G87" s="1" t="s">
        <v>24</v>
      </c>
      <c r="H87" s="2" t="str">
        <f aca="false">_xlfn.CONCAT(C87,":'",G87,"',")</f>
        <v>15:'1/2',</v>
      </c>
      <c r="I87" s="2" t="str">
        <f aca="false">_xlfn.CONCAT(E87,":'",G87,"',")</f>
        <v>36:'1/2',</v>
      </c>
      <c r="J87" s="2" t="str">
        <f aca="false">CONCATENATE("if(${p_weight}&gt;0,",formula!$H87,",",formula!$I87,")")</f>
        <v>if(${p_weight}&gt;0,15:'1/2',,36:'1/2',)</v>
      </c>
      <c r="K87" s="2" t="e">
        <f aca="false">GENERATEDRUGSTRING(formula!$C87,formula!$D87,formula!$G87,formula!$B$2:$B$19)</f>
        <v>#VALUE!</v>
      </c>
      <c r="L87" s="2" t="e">
        <f aca="false">CONCATENATE(formula!$K87,IF(TRIM(formula!$K87)="",""," "),IF(formula!$A87=A88,L88,""))</f>
        <v>#VALUE!</v>
      </c>
    </row>
    <row r="88" customFormat="false" ht="15.65" hidden="false" customHeight="false" outlineLevel="0" collapsed="false">
      <c r="A88" s="1" t="s">
        <v>38</v>
      </c>
      <c r="B88" s="1" t="str">
        <f aca="false">IF(formula!$A88&lt;&gt;A87,formula!$A88,"")</f>
        <v>iron_ml</v>
      </c>
      <c r="C88" s="1" t="n">
        <v>0</v>
      </c>
      <c r="D88" s="1" t="n">
        <v>6</v>
      </c>
      <c r="E88" s="1" t="n">
        <v>2</v>
      </c>
      <c r="F88" s="1" t="n">
        <v>4</v>
      </c>
      <c r="G88" s="1" t="s">
        <v>39</v>
      </c>
      <c r="H88" s="2" t="str">
        <f aca="false">_xlfn.CONCAT(C88,":'",G88,"',")</f>
        <v>0:'1.00 (&lt;1/4 c.à.c)',</v>
      </c>
      <c r="I88" s="2" t="str">
        <f aca="false">_xlfn.CONCAT(E88,":'",G88,"',")</f>
        <v>2:'1.00 (&lt;1/4 c.à.c)',</v>
      </c>
      <c r="J88" s="2" t="str">
        <f aca="false">CONCATENATE("if(${p_weight}&gt;0,",formula!$H88,",",formula!$I88,")")</f>
        <v>if(${p_weight}&gt;0,0:'1.00 (&lt;1/4 c.à.c)',,2:'1.00 (&lt;1/4 c.à.c)',)</v>
      </c>
      <c r="K88" s="2" t="e">
        <f aca="false">GENERATEDRUGSTRING(formula!$C88,formula!$D88,formula!$G88,formula!$B$2:$B$19)</f>
        <v>#VALUE!</v>
      </c>
      <c r="L88" s="2" t="e">
        <f aca="false">CONCATENATE(formula!$K88,IF(TRIM(formula!$K88)="",""," "),IF(formula!$A88=A89,L89,""))</f>
        <v>#VALUE!</v>
      </c>
    </row>
    <row r="89" customFormat="false" ht="15.65" hidden="false" customHeight="false" outlineLevel="0" collapsed="false">
      <c r="A89" s="1" t="s">
        <v>38</v>
      </c>
      <c r="B89" s="1" t="str">
        <f aca="false">IF(formula!$A89&lt;&gt;A88,formula!$A89,"")</f>
        <v/>
      </c>
      <c r="C89" s="1" t="n">
        <v>6</v>
      </c>
      <c r="D89" s="1" t="n">
        <v>10</v>
      </c>
      <c r="E89" s="1" t="n">
        <v>4</v>
      </c>
      <c r="F89" s="1" t="n">
        <v>12</v>
      </c>
      <c r="G89" s="1" t="s">
        <v>40</v>
      </c>
      <c r="H89" s="2" t="str">
        <f aca="false">_xlfn.CONCAT(C89,":'",G89,"',")</f>
        <v>6:'1.25 (1/4 c.à.c)',</v>
      </c>
      <c r="I89" s="2" t="str">
        <f aca="false">_xlfn.CONCAT(E89,":'",G89,"',")</f>
        <v>4:'1.25 (1/4 c.à.c)',</v>
      </c>
      <c r="J89" s="2" t="str">
        <f aca="false">CONCATENATE("if(${p_weight}&gt;0,",formula!$H89,",",formula!$I89,")")</f>
        <v>if(${p_weight}&gt;0,6:'1.25 (1/4 c.à.c)',,4:'1.25 (1/4 c.à.c)',)</v>
      </c>
      <c r="K89" s="2" t="e">
        <f aca="false">GENERATEDRUGSTRING(formula!$C89,formula!$D89,formula!$G89,formula!$B$2:$B$19)</f>
        <v>#VALUE!</v>
      </c>
      <c r="L89" s="2" t="e">
        <f aca="false">CONCATENATE(formula!$K89,IF(TRIM(formula!$K89)="",""," "),IF(formula!$A89=A90,L90,""))</f>
        <v>#VALUE!</v>
      </c>
    </row>
    <row r="90" customFormat="false" ht="15.65" hidden="false" customHeight="false" outlineLevel="0" collapsed="false">
      <c r="A90" s="1" t="s">
        <v>38</v>
      </c>
      <c r="B90" s="1" t="str">
        <f aca="false">IF(formula!$A90&lt;&gt;A89,formula!$A90,"")</f>
        <v/>
      </c>
      <c r="C90" s="1" t="n">
        <v>10</v>
      </c>
      <c r="D90" s="1" t="n">
        <v>15</v>
      </c>
      <c r="E90" s="1" t="n">
        <v>12</v>
      </c>
      <c r="F90" s="1" t="n">
        <v>36</v>
      </c>
      <c r="G90" s="1" t="s">
        <v>41</v>
      </c>
      <c r="H90" s="2" t="str">
        <f aca="false">_xlfn.CONCAT(C90,":'",G90,"',")</f>
        <v>10:'2.00 (&lt;1/2 c.à.c)',</v>
      </c>
      <c r="I90" s="2" t="str">
        <f aca="false">_xlfn.CONCAT(E90,":'",G90,"',")</f>
        <v>12:'2.00 (&lt;1/2 c.à.c)',</v>
      </c>
      <c r="J90" s="2" t="str">
        <f aca="false">CONCATENATE("if(${p_weight}&gt;0,",formula!$H90,",",formula!$I90,")")</f>
        <v>if(${p_weight}&gt;0,10:'2.00 (&lt;1/2 c.à.c)',,12:'2.00 (&lt;1/2 c.à.c)',)</v>
      </c>
      <c r="K90" s="2" t="e">
        <f aca="false">GENERATEDRUGSTRING(formula!$C90,formula!$D90,formula!$G90,formula!$B$2:$B$19)</f>
        <v>#VALUE!</v>
      </c>
      <c r="L90" s="2" t="e">
        <f aca="false">CONCATENATE(formula!$K90,IF(TRIM(formula!$K90)="",""," "),IF(formula!$A90=A91,L91,""))</f>
        <v>#VALUE!</v>
      </c>
    </row>
    <row r="91" customFormat="false" ht="15.65" hidden="false" customHeight="false" outlineLevel="0" collapsed="false">
      <c r="A91" s="1" t="s">
        <v>38</v>
      </c>
      <c r="B91" s="1" t="str">
        <f aca="false">IF(formula!$A91&lt;&gt;A90,formula!$A91,"")</f>
        <v/>
      </c>
      <c r="C91" s="1" t="n">
        <v>15</v>
      </c>
      <c r="D91" s="1" t="n">
        <v>100</v>
      </c>
      <c r="E91" s="1" t="n">
        <v>36</v>
      </c>
      <c r="F91" s="1" t="n">
        <v>61</v>
      </c>
      <c r="G91" s="1" t="s">
        <v>42</v>
      </c>
      <c r="H91" s="2" t="str">
        <f aca="false">_xlfn.CONCAT(C91,":'",G91,"',")</f>
        <v>15:'2.5 (1/2 c.à.c)',</v>
      </c>
      <c r="I91" s="2" t="str">
        <f aca="false">_xlfn.CONCAT(E91,":'",G91,"',")</f>
        <v>36:'2.5 (1/2 c.à.c)',</v>
      </c>
      <c r="J91" s="2" t="str">
        <f aca="false">CONCATENATE("if(${p_weight}&gt;0,",formula!$H91,",",formula!$I91,")")</f>
        <v>if(${p_weight}&gt;0,15:'2.5 (1/2 c.à.c)',,36:'2.5 (1/2 c.à.c)',)</v>
      </c>
      <c r="K91" s="2" t="e">
        <f aca="false">GENERATEDRUGSTRING(formula!$C91,formula!$D91,formula!$G91,formula!$B$2:$B$19)</f>
        <v>#VALUE!</v>
      </c>
      <c r="L91" s="2" t="e">
        <f aca="false">CONCATENATE(formula!$K91,IF(TRIM(formula!$K91)="",""," "),IF(formula!$A91=A92,L92,""))</f>
        <v>#VALUE!</v>
      </c>
    </row>
    <row r="92" customFormat="false" ht="15.65" hidden="false" customHeight="false" outlineLevel="0" collapsed="false">
      <c r="A92" s="1" t="s">
        <v>43</v>
      </c>
      <c r="B92" s="1" t="str">
        <f aca="false">IF(formula!$A92&lt;&gt;A91,formula!$A92,"")</f>
        <v>iron_tab</v>
      </c>
      <c r="C92" s="1" t="n">
        <v>0</v>
      </c>
      <c r="D92" s="1" t="n">
        <v>10</v>
      </c>
      <c r="E92" s="1" t="n">
        <v>0</v>
      </c>
      <c r="F92" s="1" t="n">
        <v>12</v>
      </c>
      <c r="G92" s="1" t="n">
        <v>0</v>
      </c>
      <c r="H92" s="2" t="str">
        <f aca="false">_xlfn.CONCAT(C92,":'",G92,"',")</f>
        <v>0:'0',</v>
      </c>
      <c r="I92" s="2" t="str">
        <f aca="false">_xlfn.CONCAT(E92,":'",G92,"',")</f>
        <v>0:'0',</v>
      </c>
      <c r="J92" s="2" t="str">
        <f aca="false">CONCATENATE("if(${p_weight}&gt;0,",formula!$H92,",",formula!$I92,")")</f>
        <v>if(${p_weight}&gt;0,0:'0',,0:'0',)</v>
      </c>
      <c r="K92" s="2" t="e">
        <f aca="false">GENERATEDRUGSTRING(formula!$C92,formula!$D92,formula!$G92,formula!$B$2:$B$19)</f>
        <v>#VALUE!</v>
      </c>
      <c r="L92" s="2" t="e">
        <f aca="false">CONCATENATE(formula!$K92,IF(TRIM(formula!$K92)="",""," "),IF(formula!$A92=A93,L93,""))</f>
        <v>#VALUE!</v>
      </c>
    </row>
    <row r="93" customFormat="false" ht="15.65" hidden="false" customHeight="false" outlineLevel="0" collapsed="false">
      <c r="A93" s="1" t="s">
        <v>43</v>
      </c>
      <c r="B93" s="1" t="str">
        <f aca="false">IF(formula!$A93&lt;&gt;A92,formula!$A93,"")</f>
        <v/>
      </c>
      <c r="C93" s="1" t="n">
        <v>10</v>
      </c>
      <c r="D93" s="1" t="n">
        <v>15</v>
      </c>
      <c r="E93" s="1" t="n">
        <v>12</v>
      </c>
      <c r="F93" s="1" t="n">
        <v>36</v>
      </c>
      <c r="G93" s="1" t="s">
        <v>24</v>
      </c>
      <c r="H93" s="2" t="str">
        <f aca="false">_xlfn.CONCAT(C93,":'",G93,"',")</f>
        <v>10:'1/2',</v>
      </c>
      <c r="I93" s="2" t="str">
        <f aca="false">_xlfn.CONCAT(E93,":'",G93,"',")</f>
        <v>12:'1/2',</v>
      </c>
      <c r="J93" s="2" t="str">
        <f aca="false">CONCATENATE("if(${p_weight}&gt;0,",formula!$H93,",",formula!$I93,")")</f>
        <v>if(${p_weight}&gt;0,10:'1/2',,12:'1/2',)</v>
      </c>
      <c r="K93" s="2" t="e">
        <f aca="false">GENERATEDRUGSTRING(formula!$C93,formula!$D93,formula!$G93,formula!$B$2:$B$19)</f>
        <v>#VALUE!</v>
      </c>
      <c r="L93" s="2" t="e">
        <f aca="false">CONCATENATE(formula!$K93,IF(TRIM(formula!$K93)="",""," "),IF(formula!$A93=A94,L94,""))</f>
        <v>#VALUE!</v>
      </c>
    </row>
    <row r="94" customFormat="false" ht="15.65" hidden="false" customHeight="false" outlineLevel="0" collapsed="false">
      <c r="A94" s="1" t="s">
        <v>43</v>
      </c>
      <c r="B94" s="1" t="str">
        <f aca="false">IF(formula!$A94&lt;&gt;A93,formula!$A94,"")</f>
        <v/>
      </c>
      <c r="C94" s="1" t="n">
        <v>15</v>
      </c>
      <c r="D94" s="1" t="n">
        <v>100</v>
      </c>
      <c r="E94" s="1" t="n">
        <v>36</v>
      </c>
      <c r="F94" s="1" t="n">
        <v>61</v>
      </c>
      <c r="G94" s="1" t="s">
        <v>24</v>
      </c>
      <c r="H94" s="2" t="str">
        <f aca="false">_xlfn.CONCAT(C94,":'",G94,"',")</f>
        <v>15:'1/2',</v>
      </c>
      <c r="I94" s="2" t="str">
        <f aca="false">_xlfn.CONCAT(E94,":'",G94,"',")</f>
        <v>36:'1/2',</v>
      </c>
      <c r="J94" s="2" t="str">
        <f aca="false">CONCATENATE("if(${p_weight}&gt;0,",formula!$H94,",",formula!$I94,")")</f>
        <v>if(${p_weight}&gt;0,15:'1/2',,36:'1/2',)</v>
      </c>
      <c r="K94" s="2" t="e">
        <f aca="false">GENERATEDRUGSTRING(formula!$C94,formula!$D94,formula!$G94,formula!$B$2:$B$19)</f>
        <v>#VALUE!</v>
      </c>
      <c r="L94" s="2" t="e">
        <f aca="false">CONCATENATE(formula!$K94,IF(TRIM(formula!$K94)="",""," "),IF(formula!$A94=A95,L95,""))</f>
        <v>#VALUE!</v>
      </c>
    </row>
    <row r="95" customFormat="false" ht="15.65" hidden="false" customHeight="false" outlineLevel="0" collapsed="false">
      <c r="A95" s="1" t="s">
        <v>44</v>
      </c>
      <c r="B95" s="1" t="str">
        <f aca="false">IF(formula!$A95&lt;&gt;A94,formula!$A95,"")</f>
        <v>quinine_iv_ml</v>
      </c>
      <c r="C95" s="1" t="n">
        <v>0</v>
      </c>
      <c r="D95" s="1" t="n">
        <v>3</v>
      </c>
      <c r="E95" s="1" t="n">
        <v>2</v>
      </c>
      <c r="F95" s="1" t="n">
        <v>4</v>
      </c>
      <c r="G95" s="1" t="n">
        <v>0</v>
      </c>
      <c r="H95" s="2" t="str">
        <f aca="false">_xlfn.CONCAT(C95,":'",G95,"',")</f>
        <v>0:'0',</v>
      </c>
      <c r="I95" s="2" t="str">
        <f aca="false">_xlfn.CONCAT(E95,":'",G95,"',")</f>
        <v>2:'0',</v>
      </c>
      <c r="J95" s="2" t="str">
        <f aca="false">CONCATENATE("if(${p_weight}&gt;0,",formula!$H95,",",formula!$I95,")")</f>
        <v>if(${p_weight}&gt;0,0:'0',,2:'0',)</v>
      </c>
      <c r="K95" s="2" t="e">
        <f aca="false">GENERATEDRUGSTRING(formula!$C95,formula!$D95,formula!$G95,formula!$B$2:$B$19)</f>
        <v>#VALUE!</v>
      </c>
      <c r="L95" s="2" t="e">
        <f aca="false">CONCATENATE(formula!$K95,IF(TRIM(formula!$K95)="",""," "),IF(formula!$A95=A96,L96,""))</f>
        <v>#VALUE!</v>
      </c>
    </row>
    <row r="96" customFormat="false" ht="15.65" hidden="false" customHeight="false" outlineLevel="0" collapsed="false">
      <c r="A96" s="1" t="s">
        <v>44</v>
      </c>
      <c r="B96" s="1" t="str">
        <f aca="false">IF(formula!$A96&lt;&gt;A95,formula!$A96,"")</f>
        <v/>
      </c>
      <c r="C96" s="1" t="n">
        <v>3</v>
      </c>
      <c r="D96" s="1" t="n">
        <v>6</v>
      </c>
      <c r="E96" s="1" t="n">
        <v>2</v>
      </c>
      <c r="F96" s="1" t="n">
        <v>4</v>
      </c>
      <c r="G96" s="1" t="n">
        <v>2</v>
      </c>
      <c r="H96" s="2" t="str">
        <f aca="false">_xlfn.CONCAT(C96,":'",G96,"',")</f>
        <v>3:'2',</v>
      </c>
      <c r="I96" s="2" t="str">
        <f aca="false">_xlfn.CONCAT(E96,":'",G96,"',")</f>
        <v>2:'2',</v>
      </c>
      <c r="J96" s="2" t="str">
        <f aca="false">CONCATENATE("if(${p_weight}&gt;0,",formula!$H96,",",formula!$I96,")")</f>
        <v>if(${p_weight}&gt;0,3:'2',,2:'2',)</v>
      </c>
      <c r="K96" s="2" t="e">
        <f aca="false">GENERATEDRUGSTRING(formula!$C96,formula!$D96,formula!$G96,formula!$B$2:$B$19)</f>
        <v>#VALUE!</v>
      </c>
      <c r="L96" s="2" t="e">
        <f aca="false">CONCATENATE(formula!$K96,IF(TRIM(formula!$K96)="",""," "),IF(formula!$A96=A97,L97,""))</f>
        <v>#VALUE!</v>
      </c>
    </row>
    <row r="97" customFormat="false" ht="15.65" hidden="false" customHeight="false" outlineLevel="0" collapsed="false">
      <c r="A97" s="1" t="s">
        <v>44</v>
      </c>
      <c r="B97" s="1" t="str">
        <f aca="false">IF(formula!$A97&lt;&gt;A96,formula!$A97,"")</f>
        <v/>
      </c>
      <c r="C97" s="1" t="n">
        <v>6</v>
      </c>
      <c r="D97" s="1" t="n">
        <v>10</v>
      </c>
      <c r="E97" s="1" t="n">
        <v>4</v>
      </c>
      <c r="F97" s="1" t="n">
        <v>12</v>
      </c>
      <c r="G97" s="1" t="n">
        <v>3</v>
      </c>
      <c r="H97" s="2" t="str">
        <f aca="false">_xlfn.CONCAT(C97,":'",G97,"',")</f>
        <v>6:'3',</v>
      </c>
      <c r="I97" s="2" t="str">
        <f aca="false">_xlfn.CONCAT(E97,":'",G97,"',")</f>
        <v>4:'3',</v>
      </c>
      <c r="J97" s="2" t="str">
        <f aca="false">CONCATENATE("if(${p_weight}&gt;0,",formula!$H97,",",formula!$I97,")")</f>
        <v>if(${p_weight}&gt;0,6:'3',,4:'3',)</v>
      </c>
      <c r="K97" s="2" t="e">
        <f aca="false">GENERATEDRUGSTRING(formula!$C97,formula!$D97,formula!$G97,formula!$B$2:$B$19)</f>
        <v>#VALUE!</v>
      </c>
      <c r="L97" s="2" t="e">
        <f aca="false">CONCATENATE(formula!$K97,IF(TRIM(formula!$K97)="",""," "),IF(formula!$A97=A98,L98,""))</f>
        <v>#VALUE!</v>
      </c>
    </row>
    <row r="98" customFormat="false" ht="15.65" hidden="false" customHeight="false" outlineLevel="0" collapsed="false">
      <c r="A98" s="1" t="s">
        <v>44</v>
      </c>
      <c r="B98" s="1" t="str">
        <f aca="false">IF(formula!$A98&lt;&gt;A97,formula!$A98,"")</f>
        <v/>
      </c>
      <c r="C98" s="1" t="n">
        <v>10</v>
      </c>
      <c r="D98" s="1" t="n">
        <v>12</v>
      </c>
      <c r="E98" s="1" t="n">
        <v>12</v>
      </c>
      <c r="F98" s="1" t="n">
        <v>24</v>
      </c>
      <c r="G98" s="1" t="n">
        <v>4</v>
      </c>
      <c r="H98" s="2" t="str">
        <f aca="false">_xlfn.CONCAT(C98,":'",G98,"',")</f>
        <v>10:'4',</v>
      </c>
      <c r="I98" s="2" t="str">
        <f aca="false">_xlfn.CONCAT(E98,":'",G98,"',")</f>
        <v>12:'4',</v>
      </c>
      <c r="J98" s="2" t="str">
        <f aca="false">CONCATENATE("if(${p_weight}&gt;0,",formula!$H98,",",formula!$I98,")")</f>
        <v>if(${p_weight}&gt;0,10:'4',,12:'4',)</v>
      </c>
      <c r="K98" s="2" t="e">
        <f aca="false">GENERATEDRUGSTRING(formula!$C98,formula!$D98,formula!$G98,formula!$B$2:$B$19)</f>
        <v>#VALUE!</v>
      </c>
      <c r="L98" s="2" t="e">
        <f aca="false">CONCATENATE(formula!$K98,IF(TRIM(formula!$K98)="",""," "),IF(formula!$A98=A99,L99,""))</f>
        <v>#VALUE!</v>
      </c>
    </row>
    <row r="99" customFormat="false" ht="15.65" hidden="false" customHeight="false" outlineLevel="0" collapsed="false">
      <c r="A99" s="1" t="s">
        <v>44</v>
      </c>
      <c r="B99" s="1" t="str">
        <f aca="false">IF(formula!$A99&lt;&gt;A98,formula!$A99,"")</f>
        <v/>
      </c>
      <c r="C99" s="1" t="n">
        <v>12</v>
      </c>
      <c r="D99" s="1" t="n">
        <v>14</v>
      </c>
      <c r="E99" s="1" t="n">
        <v>24</v>
      </c>
      <c r="F99" s="1" t="n">
        <v>36</v>
      </c>
      <c r="G99" s="1" t="n">
        <v>5</v>
      </c>
      <c r="H99" s="2" t="str">
        <f aca="false">_xlfn.CONCAT(C99,":'",G99,"',")</f>
        <v>12:'5',</v>
      </c>
      <c r="I99" s="2" t="str">
        <f aca="false">_xlfn.CONCAT(E99,":'",G99,"',")</f>
        <v>24:'5',</v>
      </c>
      <c r="J99" s="2" t="str">
        <f aca="false">CONCATENATE("if(${p_weight}&gt;0,",formula!$H99,",",formula!$I99,")")</f>
        <v>if(${p_weight}&gt;0,12:'5',,24:'5',)</v>
      </c>
      <c r="K99" s="2" t="e">
        <f aca="false">GENERATEDRUGSTRING(formula!$C99,formula!$D99,formula!$G99,formula!$B$2:$B$19)</f>
        <v>#VALUE!</v>
      </c>
      <c r="L99" s="2" t="e">
        <f aca="false">CONCATENATE(formula!$K99,IF(TRIM(formula!$K99)="",""," "),IF(formula!$A99=A100,L100,""))</f>
        <v>#VALUE!</v>
      </c>
    </row>
    <row r="100" customFormat="false" ht="15.65" hidden="false" customHeight="false" outlineLevel="0" collapsed="false">
      <c r="A100" s="1" t="s">
        <v>44</v>
      </c>
      <c r="B100" s="1" t="str">
        <f aca="false">IF(formula!$A100&lt;&gt;A99,formula!$A100,"")</f>
        <v/>
      </c>
      <c r="C100" s="1" t="n">
        <v>14</v>
      </c>
      <c r="D100" s="1" t="n">
        <v>20</v>
      </c>
      <c r="E100" s="1" t="n">
        <v>36</v>
      </c>
      <c r="F100" s="1" t="n">
        <v>60</v>
      </c>
      <c r="G100" s="1" t="n">
        <v>6</v>
      </c>
      <c r="H100" s="2" t="str">
        <f aca="false">_xlfn.CONCAT(C100,":'",G100,"',")</f>
        <v>14:'6',</v>
      </c>
      <c r="I100" s="2" t="str">
        <f aca="false">_xlfn.CONCAT(E100,":'",G100,"',")</f>
        <v>36:'6',</v>
      </c>
      <c r="J100" s="2" t="str">
        <f aca="false">CONCATENATE("if(${p_weight}&gt;0,",formula!$H100,",",formula!$I100,")")</f>
        <v>if(${p_weight}&gt;0,14:'6',,36:'6',)</v>
      </c>
      <c r="K100" s="2" t="e">
        <f aca="false">GENERATEDRUGSTRING(formula!$C100,formula!$D100,formula!$G100,formula!$B$2:$B$19)</f>
        <v>#VALUE!</v>
      </c>
      <c r="L100" s="2" t="e">
        <f aca="false">CONCATENATE(formula!$K100,IF(TRIM(formula!$K100)="",""," "),IF(formula!$A100=A101,L101,""))</f>
        <v>#VALUE!</v>
      </c>
    </row>
    <row r="101" customFormat="false" ht="15.65" hidden="false" customHeight="false" outlineLevel="0" collapsed="false">
      <c r="A101" s="1" t="s">
        <v>44</v>
      </c>
      <c r="B101" s="1" t="str">
        <f aca="false">IF(formula!$A101&lt;&gt;A100,formula!$A101,"")</f>
        <v/>
      </c>
      <c r="C101" s="1" t="n">
        <v>20</v>
      </c>
      <c r="D101" s="1" t="n">
        <v>100</v>
      </c>
      <c r="E101" s="1" t="n">
        <v>60</v>
      </c>
      <c r="F101" s="1" t="n">
        <v>108</v>
      </c>
      <c r="G101" s="1" t="n">
        <v>10</v>
      </c>
      <c r="H101" s="2" t="str">
        <f aca="false">_xlfn.CONCAT(C101,":'",G101,"',")</f>
        <v>20:'10',</v>
      </c>
      <c r="I101" s="2" t="str">
        <f aca="false">_xlfn.CONCAT(E101,":'",G101,"',")</f>
        <v>60:'10',</v>
      </c>
      <c r="J101" s="2" t="str">
        <f aca="false">CONCATENATE("if(${p_weight}&gt;0,",formula!$H101,",",formula!$I101,")")</f>
        <v>if(${p_weight}&gt;0,20:'10',,60:'10',)</v>
      </c>
      <c r="K101" s="2" t="e">
        <f aca="false">GENERATEDRUGSTRING(formula!$C101,formula!$D101,formula!$G101,formula!$B$2:$B$19)</f>
        <v>#VALUE!</v>
      </c>
      <c r="L101" s="2" t="e">
        <f aca="false">CONCATENATE(formula!$K101,IF(TRIM(formula!$K101)="",""," "),IF(formula!$A101=A102,L102,""))</f>
        <v>#VALUE!</v>
      </c>
    </row>
    <row r="102" customFormat="false" ht="15.65" hidden="false" customHeight="false" outlineLevel="0" collapsed="false">
      <c r="A102" s="1" t="s">
        <v>45</v>
      </c>
      <c r="B102" s="1" t="str">
        <f aca="false">IF(formula!$A102&lt;&gt;A101,formula!$A102,"")</f>
        <v>artesunate_iv_ml</v>
      </c>
      <c r="C102" s="1" t="n">
        <v>0</v>
      </c>
      <c r="D102" s="1" t="n">
        <v>3</v>
      </c>
      <c r="E102" s="1"/>
      <c r="F102" s="1"/>
      <c r="G102" s="1" t="n">
        <v>0</v>
      </c>
      <c r="H102" s="2" t="str">
        <f aca="false">_xlfn.CONCAT(C102,":'",G102,"',")</f>
        <v>0:'0',</v>
      </c>
      <c r="I102" s="2" t="str">
        <f aca="false">_xlfn.CONCAT(E102,":'",G102,"',")</f>
        <v>:'0',</v>
      </c>
      <c r="J102" s="2" t="str">
        <f aca="false">CONCATENATE("if(${p_weight}&gt;0,",formula!$H102,",",formula!$I102,")")</f>
        <v>if(${p_weight}&gt;0,0:'0',,:'0',)</v>
      </c>
      <c r="K102" s="2" t="e">
        <f aca="false">GENERATEDRUGSTRING(formula!$C102,formula!$D102,formula!$G102,formula!$B$2:$B$19)</f>
        <v>#VALUE!</v>
      </c>
      <c r="L102" s="2" t="e">
        <f aca="false">CONCATENATE(formula!$K102,IF(TRIM(formula!$K102)="",""," "),IF(formula!$A102=A103,L103,""))</f>
        <v>#VALUE!</v>
      </c>
    </row>
    <row r="103" customFormat="false" ht="15.65" hidden="false" customHeight="false" outlineLevel="0" collapsed="false">
      <c r="A103" s="1" t="s">
        <v>45</v>
      </c>
      <c r="B103" s="1" t="str">
        <f aca="false">IF(formula!$A103&lt;&gt;A102,formula!$A103,"")</f>
        <v/>
      </c>
      <c r="C103" s="1" t="n">
        <v>3</v>
      </c>
      <c r="D103" s="1" t="n">
        <v>6</v>
      </c>
      <c r="E103" s="1"/>
      <c r="F103" s="1"/>
      <c r="G103" s="1" t="n">
        <v>1.2</v>
      </c>
      <c r="H103" s="2" t="str">
        <f aca="false">_xlfn.CONCAT(C103,":'",G103,"',")</f>
        <v>3:'1.2',</v>
      </c>
      <c r="I103" s="2" t="str">
        <f aca="false">_xlfn.CONCAT(E103,":'",G103,"',")</f>
        <v>:'1.2',</v>
      </c>
      <c r="J103" s="2" t="str">
        <f aca="false">CONCATENATE("if(${p_weight}&gt;0,",formula!$H103,",",formula!$I103,")")</f>
        <v>if(${p_weight}&gt;0,3:'1.2',,:'1.2',)</v>
      </c>
      <c r="K103" s="2" t="e">
        <f aca="false">GENERATEDRUGSTRING(formula!$C103,formula!$D103,formula!$G103,formula!$B$2:$B$19)</f>
        <v>#VALUE!</v>
      </c>
      <c r="L103" s="2" t="e">
        <f aca="false">CONCATENATE(formula!$K103,IF(TRIM(formula!$K103)="",""," "),IF(formula!$A103=A104,L104,""))</f>
        <v>#VALUE!</v>
      </c>
    </row>
    <row r="104" customFormat="false" ht="15.65" hidden="false" customHeight="false" outlineLevel="0" collapsed="false">
      <c r="A104" s="1" t="s">
        <v>45</v>
      </c>
      <c r="B104" s="1" t="str">
        <f aca="false">IF(formula!$A104&lt;&gt;A103,formula!$A104,"")</f>
        <v/>
      </c>
      <c r="C104" s="1" t="n">
        <v>6</v>
      </c>
      <c r="D104" s="1" t="n">
        <v>10</v>
      </c>
      <c r="E104" s="1"/>
      <c r="F104" s="1"/>
      <c r="G104" s="1" t="n">
        <v>2.2</v>
      </c>
      <c r="H104" s="2" t="str">
        <f aca="false">_xlfn.CONCAT(C104,":'",G104,"',")</f>
        <v>6:'2.2',</v>
      </c>
      <c r="I104" s="2" t="str">
        <f aca="false">_xlfn.CONCAT(E104,":'",G104,"',")</f>
        <v>:'2.2',</v>
      </c>
      <c r="J104" s="2" t="str">
        <f aca="false">CONCATENATE("if(${p_weight}&gt;0,",formula!$H104,",",formula!$I104,")")</f>
        <v>if(${p_weight}&gt;0,6:'2.2',,:'2.2',)</v>
      </c>
      <c r="K104" s="2" t="e">
        <f aca="false">GENERATEDRUGSTRING(formula!$C104,formula!$D104,formula!$G104,formula!$B$2:$B$19)</f>
        <v>#VALUE!</v>
      </c>
      <c r="L104" s="2" t="e">
        <f aca="false">CONCATENATE(formula!$K104,IF(TRIM(formula!$K104)="",""," "),IF(formula!$A104=A105,L105,""))</f>
        <v>#VALUE!</v>
      </c>
    </row>
    <row r="105" customFormat="false" ht="15.65" hidden="false" customHeight="false" outlineLevel="0" collapsed="false">
      <c r="A105" s="1" t="s">
        <v>45</v>
      </c>
      <c r="B105" s="1" t="str">
        <f aca="false">IF(formula!$A105&lt;&gt;A104,formula!$A105,"")</f>
        <v/>
      </c>
      <c r="C105" s="1" t="n">
        <v>10</v>
      </c>
      <c r="D105" s="1" t="n">
        <v>12</v>
      </c>
      <c r="E105" s="1"/>
      <c r="F105" s="1"/>
      <c r="G105" s="1" t="n">
        <v>2.8</v>
      </c>
      <c r="H105" s="2" t="str">
        <f aca="false">_xlfn.CONCAT(C105,":'",G105,"',")</f>
        <v>10:'2.8',</v>
      </c>
      <c r="I105" s="2" t="str">
        <f aca="false">_xlfn.CONCAT(E105,":'",G105,"',")</f>
        <v>:'2.8',</v>
      </c>
      <c r="J105" s="2" t="str">
        <f aca="false">CONCATENATE("if(${p_weight}&gt;0,",formula!$H105,",",formula!$I105,")")</f>
        <v>if(${p_weight}&gt;0,10:'2.8',,:'2.8',)</v>
      </c>
      <c r="K105" s="2" t="e">
        <f aca="false">GENERATEDRUGSTRING(formula!$C105,formula!$D105,formula!$G105,formula!$B$2:$B$19)</f>
        <v>#VALUE!</v>
      </c>
      <c r="L105" s="2" t="e">
        <f aca="false">CONCATENATE(formula!$K105,IF(TRIM(formula!$K105)="",""," "),IF(formula!$A105=A106,L106,""))</f>
        <v>#VALUE!</v>
      </c>
    </row>
    <row r="106" customFormat="false" ht="15.65" hidden="false" customHeight="false" outlineLevel="0" collapsed="false">
      <c r="A106" s="1" t="s">
        <v>45</v>
      </c>
      <c r="B106" s="1" t="str">
        <f aca="false">IF(formula!$A106&lt;&gt;A105,formula!$A106,"")</f>
        <v/>
      </c>
      <c r="C106" s="1" t="n">
        <v>12</v>
      </c>
      <c r="D106" s="1" t="n">
        <v>15</v>
      </c>
      <c r="E106" s="1"/>
      <c r="F106" s="1"/>
      <c r="G106" s="1" t="n">
        <v>3.6</v>
      </c>
      <c r="H106" s="2" t="str">
        <f aca="false">_xlfn.CONCAT(C106,":'",G106,"',")</f>
        <v>12:'3.6',</v>
      </c>
      <c r="I106" s="2" t="str">
        <f aca="false">_xlfn.CONCAT(E106,":'",G106,"',")</f>
        <v>:'3.6',</v>
      </c>
      <c r="J106" s="2" t="str">
        <f aca="false">CONCATENATE("if(${p_weight}&gt;0,",formula!$H106,",",formula!$I106,")")</f>
        <v>if(${p_weight}&gt;0,12:'3.6',,:'3.6',)</v>
      </c>
      <c r="K106" s="2" t="e">
        <f aca="false">GENERATEDRUGSTRING(formula!$C106,formula!$D106,formula!$G106,formula!$B$2:$B$19)</f>
        <v>#VALUE!</v>
      </c>
      <c r="L106" s="2" t="e">
        <f aca="false">CONCATENATE(formula!$K106,IF(TRIM(formula!$K106)="",""," "),IF(formula!$A106=A107,L107,""))</f>
        <v>#VALUE!</v>
      </c>
    </row>
    <row r="107" customFormat="false" ht="15.65" hidden="false" customHeight="false" outlineLevel="0" collapsed="false">
      <c r="A107" s="1" t="s">
        <v>45</v>
      </c>
      <c r="B107" s="1" t="str">
        <f aca="false">IF(formula!$A107&lt;&gt;A106,formula!$A107,"")</f>
        <v/>
      </c>
      <c r="C107" s="1" t="n">
        <v>15</v>
      </c>
      <c r="D107" s="1" t="n">
        <v>100</v>
      </c>
      <c r="E107" s="1"/>
      <c r="F107" s="1"/>
      <c r="G107" s="1" t="n">
        <v>4.6</v>
      </c>
      <c r="H107" s="2" t="str">
        <f aca="false">_xlfn.CONCAT(C107,":'",G107,"',")</f>
        <v>15:'4.6',</v>
      </c>
      <c r="I107" s="2" t="str">
        <f aca="false">_xlfn.CONCAT(E107,":'",G107,"',")</f>
        <v>:'4.6',</v>
      </c>
      <c r="J107" s="2" t="str">
        <f aca="false">CONCATENATE("if(${p_weight}&gt;0,",formula!$H107,",",formula!$I107,")")</f>
        <v>if(${p_weight}&gt;0,15:'4.6',,:'4.6',)</v>
      </c>
      <c r="K107" s="2" t="e">
        <f aca="false">GENERATEDRUGSTRING(formula!$C107,formula!$D107,formula!$G107,formula!$B$2:$B$19)</f>
        <v>#VALUE!</v>
      </c>
      <c r="L107" s="2" t="e">
        <f aca="false">CONCATENATE(formula!$K107,IF(TRIM(formula!$K107)="",""," "),IF(formula!$A107=A108,L108,""))</f>
        <v>#VALUE!</v>
      </c>
    </row>
    <row r="108" customFormat="false" ht="15.65" hidden="false" customHeight="false" outlineLevel="0" collapsed="false">
      <c r="A108" s="1" t="s">
        <v>46</v>
      </c>
      <c r="B108" s="1" t="str">
        <f aca="false">IF(formula!$A108&lt;&gt;A107,formula!$A108,"")</f>
        <v>artesunate_rectal_100</v>
      </c>
      <c r="C108" s="1" t="n">
        <v>0</v>
      </c>
      <c r="D108" s="1" t="n">
        <v>5</v>
      </c>
      <c r="E108" s="1"/>
      <c r="F108" s="1"/>
      <c r="G108" s="1" t="n">
        <v>0</v>
      </c>
      <c r="H108" s="2" t="str">
        <f aca="false">_xlfn.CONCAT(C108,":'",G108,"',")</f>
        <v>0:'0',</v>
      </c>
      <c r="I108" s="2" t="str">
        <f aca="false">_xlfn.CONCAT(E108,":'",G108,"',")</f>
        <v>:'0',</v>
      </c>
      <c r="J108" s="2" t="str">
        <f aca="false">CONCATENATE("if(${p_weight}&gt;0,",formula!$H108,",",formula!$I108,")")</f>
        <v>if(${p_weight}&gt;0,0:'0',,:'0',)</v>
      </c>
      <c r="K108" s="2" t="e">
        <f aca="false">GENERATEDRUGSTRING(formula!$C108,formula!$D108,formula!$G108,formula!$B$2:$B$19)</f>
        <v>#VALUE!</v>
      </c>
      <c r="L108" s="2" t="e">
        <f aca="false">CONCATENATE(formula!$K108,IF(TRIM(formula!$K108)="",""," "),IF(formula!$A108=A109,L109,""))</f>
        <v>#VALUE!</v>
      </c>
    </row>
    <row r="109" customFormat="false" ht="15.65" hidden="false" customHeight="false" outlineLevel="0" collapsed="false">
      <c r="A109" s="1" t="s">
        <v>46</v>
      </c>
      <c r="B109" s="1" t="str">
        <f aca="false">IF(formula!$A109&lt;&gt;A108,formula!$A109,"")</f>
        <v/>
      </c>
      <c r="C109" s="1" t="n">
        <v>5</v>
      </c>
      <c r="D109" s="1" t="n">
        <v>15</v>
      </c>
      <c r="E109" s="1"/>
      <c r="F109" s="1"/>
      <c r="G109" s="1" t="n">
        <v>1</v>
      </c>
      <c r="H109" s="2" t="str">
        <f aca="false">_xlfn.CONCAT(C109,":'",G109,"',")</f>
        <v>5:'1',</v>
      </c>
      <c r="I109" s="2" t="str">
        <f aca="false">_xlfn.CONCAT(E109,":'",G109,"',")</f>
        <v>:'1',</v>
      </c>
      <c r="J109" s="2" t="str">
        <f aca="false">CONCATENATE("if(${p_weight}&gt;0,",formula!$H109,",",formula!$I109,")")</f>
        <v>if(${p_weight}&gt;0,5:'1',,:'1',)</v>
      </c>
      <c r="K109" s="2" t="e">
        <f aca="false">GENERATEDRUGSTRING(formula!$C109,formula!$D109,formula!$G109,formula!$B$2:$B$19)</f>
        <v>#VALUE!</v>
      </c>
      <c r="L109" s="2" t="e">
        <f aca="false">CONCATENATE(formula!$K109,IF(TRIM(formula!$K109)="",""," "),IF(formula!$A109=A110,L110,""))</f>
        <v>#VALUE!</v>
      </c>
    </row>
    <row r="110" customFormat="false" ht="15.65" hidden="false" customHeight="false" outlineLevel="0" collapsed="false">
      <c r="A110" s="1" t="s">
        <v>46</v>
      </c>
      <c r="B110" s="1" t="str">
        <f aca="false">IF(formula!$A110&lt;&gt;A109,formula!$A110,"")</f>
        <v/>
      </c>
      <c r="C110" s="1" t="n">
        <v>15</v>
      </c>
      <c r="D110" s="1" t="n">
        <v>100</v>
      </c>
      <c r="E110" s="1"/>
      <c r="F110" s="1"/>
      <c r="G110" s="1" t="n">
        <v>2</v>
      </c>
      <c r="H110" s="2" t="str">
        <f aca="false">_xlfn.CONCAT(C110,":'",G110,"',")</f>
        <v>15:'2',</v>
      </c>
      <c r="I110" s="2" t="str">
        <f aca="false">_xlfn.CONCAT(E110,":'",G110,"',")</f>
        <v>:'2',</v>
      </c>
      <c r="J110" s="2" t="str">
        <f aca="false">CONCATENATE("if(${p_weight}&gt;0,",formula!$H110,",",formula!$I110,")")</f>
        <v>if(${p_weight}&gt;0,15:'2',,:'2',)</v>
      </c>
      <c r="K110" s="2" t="e">
        <f aca="false">GENERATEDRUGSTRING(formula!$C110,formula!$D110,formula!$G110,formula!$B$2:$B$19)</f>
        <v>#VALUE!</v>
      </c>
      <c r="L110" s="2" t="e">
        <f aca="false">CONCATENATE(formula!$K110,IF(TRIM(formula!$K110)="",""," "),IF(formula!$A110=A111,L111,""))</f>
        <v>#VALUE!</v>
      </c>
    </row>
    <row r="111" customFormat="false" ht="15.65" hidden="false" customHeight="false" outlineLevel="0" collapsed="false">
      <c r="A111" s="1" t="s">
        <v>47</v>
      </c>
      <c r="B111" s="1" t="str">
        <f aca="false">IF(formula!$A111&lt;&gt;A110,formula!$A111,"")</f>
        <v>as_100_aq_270_tab</v>
      </c>
      <c r="C111" s="1" t="n">
        <v>0</v>
      </c>
      <c r="D111" s="1" t="n">
        <v>4.5</v>
      </c>
      <c r="E111" s="1"/>
      <c r="F111" s="1"/>
      <c r="G111" s="1" t="n">
        <v>0</v>
      </c>
      <c r="H111" s="2" t="str">
        <f aca="false">_xlfn.CONCAT(C111,":'",G111,"',")</f>
        <v>0:'0',</v>
      </c>
      <c r="I111" s="2" t="str">
        <f aca="false">_xlfn.CONCAT(E111,":'",G111,"',")</f>
        <v>:'0',</v>
      </c>
      <c r="J111" s="2" t="str">
        <f aca="false">CONCATENATE("if(${p_weight}&gt;0,",formula!$H111,",",formula!$I111,")")</f>
        <v>if(${p_weight}&gt;0,0:'0',,:'0',)</v>
      </c>
      <c r="K111" s="2" t="e">
        <f aca="false">GENERATEDRUGSTRING(formula!$C111,formula!$D111,formula!$G111,formula!$B$2:$B$19)</f>
        <v>#VALUE!</v>
      </c>
      <c r="L111" s="2" t="e">
        <f aca="false">CONCATENATE(formula!$K111,IF(TRIM(formula!$K111)="",""," "),IF(formula!$A111=A112,L112,""))</f>
        <v>#VALUE!</v>
      </c>
    </row>
    <row r="112" customFormat="false" ht="15.65" hidden="false" customHeight="false" outlineLevel="0" collapsed="false">
      <c r="A112" s="1" t="s">
        <v>47</v>
      </c>
      <c r="B112" s="1" t="str">
        <f aca="false">IF(formula!$A112&lt;&gt;A111,formula!$A112,"")</f>
        <v/>
      </c>
      <c r="C112" s="1" t="n">
        <v>4.5</v>
      </c>
      <c r="D112" s="1" t="n">
        <v>9</v>
      </c>
      <c r="E112" s="1"/>
      <c r="F112" s="1"/>
      <c r="G112" s="1" t="n">
        <v>0</v>
      </c>
      <c r="H112" s="2" t="str">
        <f aca="false">_xlfn.CONCAT(C112,":'",G112,"',")</f>
        <v>4.5:'0',</v>
      </c>
      <c r="I112" s="2" t="str">
        <f aca="false">_xlfn.CONCAT(E112,":'",G112,"',")</f>
        <v>:'0',</v>
      </c>
      <c r="J112" s="2" t="str">
        <f aca="false">CONCATENATE("if(${p_weight}&gt;0,",formula!$H112,",",formula!$I112,")")</f>
        <v>if(${p_weight}&gt;0,4.5:'0',,:'0',)</v>
      </c>
      <c r="K112" s="2" t="e">
        <f aca="false">GENERATEDRUGSTRING(formula!$C112,formula!$D112,formula!$G112,formula!$B$2:$B$19)</f>
        <v>#VALUE!</v>
      </c>
      <c r="L112" s="2" t="e">
        <f aca="false">CONCATENATE(formula!$K112,IF(TRIM(formula!$K112)="",""," "),IF(formula!$A112=A113,L113,""))</f>
        <v>#VALUE!</v>
      </c>
    </row>
    <row r="113" customFormat="false" ht="15.65" hidden="false" customHeight="false" outlineLevel="0" collapsed="false">
      <c r="A113" s="1" t="s">
        <v>47</v>
      </c>
      <c r="B113" s="1" t="str">
        <f aca="false">IF(formula!$A113&lt;&gt;A112,formula!$A113,"")</f>
        <v/>
      </c>
      <c r="C113" s="1" t="n">
        <v>9</v>
      </c>
      <c r="D113" s="1" t="n">
        <v>18</v>
      </c>
      <c r="E113" s="1"/>
      <c r="F113" s="1"/>
      <c r="G113" s="1" t="n">
        <v>0</v>
      </c>
      <c r="H113" s="2" t="str">
        <f aca="false">_xlfn.CONCAT(C113,":'",G113,"',")</f>
        <v>9:'0',</v>
      </c>
      <c r="I113" s="2" t="str">
        <f aca="false">_xlfn.CONCAT(E113,":'",G113,"',")</f>
        <v>:'0',</v>
      </c>
      <c r="J113" s="2" t="str">
        <f aca="false">CONCATENATE("if(${p_weight}&gt;0,",formula!$H113,",",formula!$I113,")")</f>
        <v>if(${p_weight}&gt;0,9:'0',,:'0',)</v>
      </c>
      <c r="K113" s="2" t="e">
        <f aca="false">GENERATEDRUGSTRING(formula!$C113,formula!$D113,formula!$G113,formula!$B$2:$B$19)</f>
        <v>#VALUE!</v>
      </c>
      <c r="L113" s="2" t="e">
        <f aca="false">CONCATENATE(formula!$K113,IF(TRIM(formula!$K113)="",""," "),IF(formula!$A113=A114,L114,""))</f>
        <v>#VALUE!</v>
      </c>
    </row>
    <row r="114" customFormat="false" ht="15.65" hidden="false" customHeight="false" outlineLevel="0" collapsed="false">
      <c r="A114" s="1" t="s">
        <v>47</v>
      </c>
      <c r="B114" s="1" t="str">
        <f aca="false">IF(formula!$A114&lt;&gt;A113,formula!$A114,"")</f>
        <v/>
      </c>
      <c r="C114" s="1" t="n">
        <v>18</v>
      </c>
      <c r="D114" s="1" t="n">
        <v>36</v>
      </c>
      <c r="E114" s="1"/>
      <c r="F114" s="1"/>
      <c r="G114" s="1" t="n">
        <v>1</v>
      </c>
      <c r="H114" s="2" t="str">
        <f aca="false">_xlfn.CONCAT(C114,":'",G114,"',")</f>
        <v>18:'1',</v>
      </c>
      <c r="I114" s="2" t="str">
        <f aca="false">_xlfn.CONCAT(E114,":'",G114,"',")</f>
        <v>:'1',</v>
      </c>
      <c r="J114" s="2" t="str">
        <f aca="false">CONCATENATE("if(${p_weight}&gt;0,",formula!$H114,",",formula!$I114,")")</f>
        <v>if(${p_weight}&gt;0,18:'1',,:'1',)</v>
      </c>
      <c r="K114" s="2" t="e">
        <f aca="false">GENERATEDRUGSTRING(formula!$C114,formula!$D114,formula!$G114,formula!$B$2:$B$19)</f>
        <v>#VALUE!</v>
      </c>
      <c r="L114" s="2" t="e">
        <f aca="false">CONCATENATE(formula!$K114,IF(TRIM(formula!$K114)="",""," "),IF(formula!$A114=A115,L115,""))</f>
        <v>#VALUE!</v>
      </c>
    </row>
    <row r="115" customFormat="false" ht="15.65" hidden="false" customHeight="false" outlineLevel="0" collapsed="false">
      <c r="A115" s="1" t="s">
        <v>47</v>
      </c>
      <c r="B115" s="1" t="str">
        <f aca="false">IF(formula!$A115&lt;&gt;A114,formula!$A115,"")</f>
        <v/>
      </c>
      <c r="C115" s="1" t="n">
        <v>36</v>
      </c>
      <c r="D115" s="1" t="n">
        <v>100</v>
      </c>
      <c r="E115" s="1"/>
      <c r="F115" s="1"/>
      <c r="G115" s="1" t="n">
        <v>2</v>
      </c>
      <c r="H115" s="2" t="str">
        <f aca="false">_xlfn.CONCAT(C115,":'",G115,"',")</f>
        <v>36:'2',</v>
      </c>
      <c r="I115" s="2" t="str">
        <f aca="false">_xlfn.CONCAT(E115,":'",G115,"',")</f>
        <v>:'2',</v>
      </c>
      <c r="J115" s="2" t="str">
        <f aca="false">CONCATENATE("if(${p_weight}&gt;0,",formula!$H115,",",formula!$I115,")")</f>
        <v>if(${p_weight}&gt;0,36:'2',,:'2',)</v>
      </c>
      <c r="K115" s="2" t="e">
        <f aca="false">GENERATEDRUGSTRING(formula!$C115,formula!$D115,formula!$G115,formula!$B$2:$B$19)</f>
        <v>#VALUE!</v>
      </c>
      <c r="L115" s="2" t="e">
        <f aca="false">CONCATENATE(formula!$K115,IF(TRIM(formula!$K115)="",""," "),IF(formula!$A115=A116,L116,""))</f>
        <v>#VALUE!</v>
      </c>
    </row>
    <row r="116" customFormat="false" ht="15.65" hidden="false" customHeight="false" outlineLevel="0" collapsed="false">
      <c r="A116" s="1" t="s">
        <v>48</v>
      </c>
      <c r="B116" s="1" t="str">
        <f aca="false">IF(formula!$A116&lt;&gt;A115,formula!$A116,"")</f>
        <v>as_50_aq_135_tab</v>
      </c>
      <c r="C116" s="1" t="n">
        <v>0</v>
      </c>
      <c r="D116" s="1" t="n">
        <v>4.5</v>
      </c>
      <c r="E116" s="1"/>
      <c r="F116" s="1"/>
      <c r="G116" s="1" t="n">
        <v>0</v>
      </c>
      <c r="H116" s="2" t="str">
        <f aca="false">_xlfn.CONCAT(C116,":'",G116,"',")</f>
        <v>0:'0',</v>
      </c>
      <c r="I116" s="2" t="str">
        <f aca="false">_xlfn.CONCAT(E116,":'",G116,"',")</f>
        <v>:'0',</v>
      </c>
      <c r="J116" s="2" t="str">
        <f aca="false">CONCATENATE("if(${p_weight}&gt;0,",formula!$H116,",",formula!$I116,")")</f>
        <v>if(${p_weight}&gt;0,0:'0',,:'0',)</v>
      </c>
      <c r="K116" s="2" t="e">
        <f aca="false">GENERATEDRUGSTRING(formula!$C116,formula!$D116,formula!$G116,formula!$B$2:$B$19)</f>
        <v>#VALUE!</v>
      </c>
      <c r="L116" s="2" t="e">
        <f aca="false">CONCATENATE(formula!$K116,IF(TRIM(formula!$K116)="",""," "),IF(formula!$A116=A117,L117,""))</f>
        <v>#VALUE!</v>
      </c>
    </row>
    <row r="117" customFormat="false" ht="15.65" hidden="false" customHeight="false" outlineLevel="0" collapsed="false">
      <c r="A117" s="1" t="s">
        <v>48</v>
      </c>
      <c r="B117" s="1" t="str">
        <f aca="false">IF(formula!$A117&lt;&gt;A116,formula!$A117,"")</f>
        <v/>
      </c>
      <c r="C117" s="1" t="n">
        <v>4.5</v>
      </c>
      <c r="D117" s="1" t="n">
        <v>9</v>
      </c>
      <c r="E117" s="1"/>
      <c r="F117" s="1"/>
      <c r="G117" s="1" t="s">
        <v>24</v>
      </c>
      <c r="H117" s="2" t="str">
        <f aca="false">_xlfn.CONCAT(C117,":'",G117,"',")</f>
        <v>4.5:'1/2',</v>
      </c>
      <c r="I117" s="2" t="str">
        <f aca="false">_xlfn.CONCAT(E117,":'",G117,"',")</f>
        <v>:'1/2',</v>
      </c>
      <c r="J117" s="2" t="str">
        <f aca="false">CONCATENATE("if(${p_weight}&gt;0,",formula!$H117,",",formula!$I117,")")</f>
        <v>if(${p_weight}&gt;0,4.5:'1/2',,:'1/2',)</v>
      </c>
      <c r="K117" s="2" t="e">
        <f aca="false">GENERATEDRUGSTRING(formula!$C117,formula!$D117,formula!$G117,formula!$B$2:$B$19)</f>
        <v>#VALUE!</v>
      </c>
      <c r="L117" s="2" t="e">
        <f aca="false">CONCATENATE(formula!$K117,IF(TRIM(formula!$K117)="",""," "),IF(formula!$A117=A118,L118,""))</f>
        <v>#VALUE!</v>
      </c>
    </row>
    <row r="118" customFormat="false" ht="15.65" hidden="false" customHeight="false" outlineLevel="0" collapsed="false">
      <c r="A118" s="1" t="s">
        <v>48</v>
      </c>
      <c r="B118" s="1" t="str">
        <f aca="false">IF(formula!$A118&lt;&gt;A117,formula!$A118,"")</f>
        <v/>
      </c>
      <c r="C118" s="1" t="n">
        <v>9</v>
      </c>
      <c r="D118" s="1" t="n">
        <v>18</v>
      </c>
      <c r="E118" s="1"/>
      <c r="F118" s="1"/>
      <c r="G118" s="1" t="n">
        <v>1</v>
      </c>
      <c r="H118" s="2" t="str">
        <f aca="false">_xlfn.CONCAT(C118,":'",G118,"',")</f>
        <v>9:'1',</v>
      </c>
      <c r="I118" s="2" t="str">
        <f aca="false">_xlfn.CONCAT(E118,":'",G118,"',")</f>
        <v>:'1',</v>
      </c>
      <c r="J118" s="2" t="str">
        <f aca="false">CONCATENATE("if(${p_weight}&gt;0,",formula!$H118,",",formula!$I118,")")</f>
        <v>if(${p_weight}&gt;0,9:'1',,:'1',)</v>
      </c>
      <c r="K118" s="2" t="e">
        <f aca="false">GENERATEDRUGSTRING(formula!$C118,formula!$D118,formula!$G118,formula!$B$2:$B$19)</f>
        <v>#VALUE!</v>
      </c>
      <c r="L118" s="2" t="e">
        <f aca="false">CONCATENATE(formula!$K118,IF(TRIM(formula!$K118)="",""," "),IF(formula!$A118=A119,L119,""))</f>
        <v>#VALUE!</v>
      </c>
    </row>
    <row r="119" customFormat="false" ht="15.65" hidden="false" customHeight="false" outlineLevel="0" collapsed="false">
      <c r="A119" s="1" t="s">
        <v>48</v>
      </c>
      <c r="B119" s="1" t="str">
        <f aca="false">IF(formula!$A119&lt;&gt;A118,formula!$A119,"")</f>
        <v/>
      </c>
      <c r="C119" s="1" t="n">
        <v>18</v>
      </c>
      <c r="D119" s="1" t="n">
        <v>36</v>
      </c>
      <c r="E119" s="1"/>
      <c r="F119" s="1"/>
      <c r="G119" s="1" t="n">
        <v>2</v>
      </c>
      <c r="H119" s="2" t="str">
        <f aca="false">_xlfn.CONCAT(C119,":'",G119,"',")</f>
        <v>18:'2',</v>
      </c>
      <c r="I119" s="2" t="str">
        <f aca="false">_xlfn.CONCAT(E119,":'",G119,"',")</f>
        <v>:'2',</v>
      </c>
      <c r="J119" s="2" t="str">
        <f aca="false">CONCATENATE("if(${p_weight}&gt;0,",formula!$H119,",",formula!$I119,")")</f>
        <v>if(${p_weight}&gt;0,18:'2',,:'2',)</v>
      </c>
      <c r="K119" s="2" t="e">
        <f aca="false">GENERATEDRUGSTRING(formula!$C119,formula!$D119,formula!$G119,formula!$B$2:$B$19)</f>
        <v>#VALUE!</v>
      </c>
      <c r="L119" s="2" t="e">
        <f aca="false">CONCATENATE(formula!$K119,IF(TRIM(formula!$K119)="",""," "),IF(formula!$A119=A120,L120,""))</f>
        <v>#VALUE!</v>
      </c>
    </row>
    <row r="120" customFormat="false" ht="15.65" hidden="false" customHeight="false" outlineLevel="0" collapsed="false">
      <c r="A120" s="1" t="s">
        <v>48</v>
      </c>
      <c r="B120" s="1" t="str">
        <f aca="false">IF(formula!$A120&lt;&gt;A119,formula!$A120,"")</f>
        <v/>
      </c>
      <c r="C120" s="1" t="n">
        <v>36</v>
      </c>
      <c r="D120" s="1" t="n">
        <v>100</v>
      </c>
      <c r="E120" s="1"/>
      <c r="F120" s="1"/>
      <c r="G120" s="1" t="n">
        <v>4</v>
      </c>
      <c r="H120" s="2" t="str">
        <f aca="false">_xlfn.CONCAT(C120,":'",G120,"',")</f>
        <v>36:'4',</v>
      </c>
      <c r="I120" s="2" t="str">
        <f aca="false">_xlfn.CONCAT(E120,":'",G120,"',")</f>
        <v>:'4',</v>
      </c>
      <c r="J120" s="2" t="str">
        <f aca="false">CONCATENATE("if(${p_weight}&gt;0,",formula!$H120,",",formula!$I120,")")</f>
        <v>if(${p_weight}&gt;0,36:'4',,:'4',)</v>
      </c>
      <c r="K120" s="2" t="e">
        <f aca="false">GENERATEDRUGSTRING(formula!$C120,formula!$D120,formula!$G120,formula!$B$2:$B$19)</f>
        <v>#VALUE!</v>
      </c>
      <c r="L120" s="2" t="e">
        <f aca="false">CONCATENATE(formula!$K120,IF(TRIM(formula!$K120)="",""," "),IF(formula!$A120=A121,L121,""))</f>
        <v>#VALUE!</v>
      </c>
    </row>
    <row r="121" customFormat="false" ht="15.65" hidden="false" customHeight="false" outlineLevel="0" collapsed="false">
      <c r="A121" s="1" t="s">
        <v>49</v>
      </c>
      <c r="B121" s="1" t="str">
        <f aca="false">IF(formula!$A121&lt;&gt;A120,formula!$A121,"")</f>
        <v>as_25_aq_67_tab</v>
      </c>
      <c r="C121" s="1" t="n">
        <v>0</v>
      </c>
      <c r="D121" s="1" t="n">
        <v>4.5</v>
      </c>
      <c r="E121" s="1"/>
      <c r="F121" s="1"/>
      <c r="G121" s="1" t="n">
        <v>0</v>
      </c>
      <c r="H121" s="2" t="str">
        <f aca="false">_xlfn.CONCAT(C121,":'",G121,"',")</f>
        <v>0:'0',</v>
      </c>
      <c r="I121" s="2" t="str">
        <f aca="false">_xlfn.CONCAT(E121,":'",G121,"',")</f>
        <v>:'0',</v>
      </c>
      <c r="J121" s="2" t="str">
        <f aca="false">CONCATENATE("if(${p_weight}&gt;0,",formula!$H121,",",formula!$I121,")")</f>
        <v>if(${p_weight}&gt;0,0:'0',,:'0',)</v>
      </c>
      <c r="K121" s="2" t="e">
        <f aca="false">GENERATEDRUGSTRING(formula!$C121,formula!$D121,formula!$G121,formula!$B$2:$B$19)</f>
        <v>#VALUE!</v>
      </c>
      <c r="L121" s="2" t="e">
        <f aca="false">CONCATENATE(formula!$K121,IF(TRIM(formula!$K121)="",""," "),IF(formula!$A121=A122,L122,""))</f>
        <v>#VALUE!</v>
      </c>
    </row>
    <row r="122" customFormat="false" ht="15.65" hidden="false" customHeight="false" outlineLevel="0" collapsed="false">
      <c r="A122" s="1" t="s">
        <v>49</v>
      </c>
      <c r="B122" s="1" t="str">
        <f aca="false">IF(formula!$A122&lt;&gt;A121,formula!$A122,"")</f>
        <v/>
      </c>
      <c r="C122" s="1" t="n">
        <v>4.5</v>
      </c>
      <c r="D122" s="1" t="n">
        <v>9</v>
      </c>
      <c r="E122" s="1"/>
      <c r="F122" s="1"/>
      <c r="G122" s="1" t="n">
        <v>1</v>
      </c>
      <c r="H122" s="2" t="str">
        <f aca="false">_xlfn.CONCAT(C122,":'",G122,"',")</f>
        <v>4.5:'1',</v>
      </c>
      <c r="I122" s="2" t="str">
        <f aca="false">_xlfn.CONCAT(E122,":'",G122,"',")</f>
        <v>:'1',</v>
      </c>
      <c r="J122" s="2" t="str">
        <f aca="false">CONCATENATE("if(${p_weight}&gt;0,",formula!$H122,",",formula!$I122,")")</f>
        <v>if(${p_weight}&gt;0,4.5:'1',,:'1',)</v>
      </c>
      <c r="K122" s="2" t="e">
        <f aca="false">GENERATEDRUGSTRING(formula!$C122,formula!$D122,formula!$G122,formula!$B$2:$B$19)</f>
        <v>#VALUE!</v>
      </c>
      <c r="L122" s="2" t="e">
        <f aca="false">CONCATENATE(formula!$K122,IF(TRIM(formula!$K122)="",""," "),IF(formula!$A122=A123,L123,""))</f>
        <v>#VALUE!</v>
      </c>
    </row>
    <row r="123" customFormat="false" ht="15.65" hidden="false" customHeight="false" outlineLevel="0" collapsed="false">
      <c r="A123" s="1" t="s">
        <v>49</v>
      </c>
      <c r="B123" s="1" t="str">
        <f aca="false">IF(formula!$A123&lt;&gt;A122,formula!$A123,"")</f>
        <v/>
      </c>
      <c r="C123" s="1" t="n">
        <v>9</v>
      </c>
      <c r="D123" s="1" t="n">
        <v>18</v>
      </c>
      <c r="E123" s="1"/>
      <c r="F123" s="1"/>
      <c r="G123" s="1" t="n">
        <v>2</v>
      </c>
      <c r="H123" s="2" t="str">
        <f aca="false">_xlfn.CONCAT(C123,":'",G123,"',")</f>
        <v>9:'2',</v>
      </c>
      <c r="I123" s="2" t="str">
        <f aca="false">_xlfn.CONCAT(E123,":'",G123,"',")</f>
        <v>:'2',</v>
      </c>
      <c r="J123" s="2" t="str">
        <f aca="false">CONCATENATE("if(${p_weight}&gt;0,",formula!$H123,",",formula!$I123,")")</f>
        <v>if(${p_weight}&gt;0,9:'2',,:'2',)</v>
      </c>
      <c r="K123" s="2" t="e">
        <f aca="false">GENERATEDRUGSTRING(formula!$C123,formula!$D123,formula!$G123,formula!$B$2:$B$19)</f>
        <v>#VALUE!</v>
      </c>
      <c r="L123" s="2" t="e">
        <f aca="false">CONCATENATE(formula!$K123,IF(TRIM(formula!$K123)="",""," "),IF(formula!$A123=A124,L124,""))</f>
        <v>#VALUE!</v>
      </c>
    </row>
    <row r="124" customFormat="false" ht="15.65" hidden="false" customHeight="false" outlineLevel="0" collapsed="false">
      <c r="A124" s="1" t="s">
        <v>49</v>
      </c>
      <c r="B124" s="1" t="str">
        <f aca="false">IF(formula!$A124&lt;&gt;A123,formula!$A124,"")</f>
        <v/>
      </c>
      <c r="C124" s="1" t="n">
        <v>18</v>
      </c>
      <c r="D124" s="1" t="n">
        <v>36</v>
      </c>
      <c r="E124" s="1"/>
      <c r="F124" s="1"/>
      <c r="G124" s="1" t="n">
        <v>4</v>
      </c>
      <c r="H124" s="2" t="str">
        <f aca="false">_xlfn.CONCAT(C124,":'",G124,"',")</f>
        <v>18:'4',</v>
      </c>
      <c r="I124" s="2" t="str">
        <f aca="false">_xlfn.CONCAT(E124,":'",G124,"',")</f>
        <v>:'4',</v>
      </c>
      <c r="J124" s="2" t="str">
        <f aca="false">CONCATENATE("if(${p_weight}&gt;0,",formula!$H124,",",formula!$I124,")")</f>
        <v>if(${p_weight}&gt;0,18:'4',,:'4',)</v>
      </c>
      <c r="K124" s="2" t="e">
        <f aca="false">GENERATEDRUGSTRING(formula!$C124,formula!$D124,formula!$G124,formula!$B$2:$B$19)</f>
        <v>#VALUE!</v>
      </c>
      <c r="L124" s="2" t="e">
        <f aca="false">CONCATENATE(formula!$K124,IF(TRIM(formula!$K124)="",""," "),IF(formula!$A124=A125,L125,""))</f>
        <v>#VALUE!</v>
      </c>
    </row>
    <row r="125" customFormat="false" ht="15.65" hidden="false" customHeight="false" outlineLevel="0" collapsed="false">
      <c r="A125" s="1" t="s">
        <v>49</v>
      </c>
      <c r="B125" s="1" t="str">
        <f aca="false">IF(formula!$A125&lt;&gt;A124,formula!$A125,"")</f>
        <v/>
      </c>
      <c r="C125" s="1" t="n">
        <v>36</v>
      </c>
      <c r="D125" s="1" t="n">
        <v>100</v>
      </c>
      <c r="E125" s="1"/>
      <c r="F125" s="1"/>
      <c r="G125" s="1" t="n">
        <v>8</v>
      </c>
      <c r="H125" s="2" t="str">
        <f aca="false">_xlfn.CONCAT(C125,":'",G125,"',")</f>
        <v>36:'8',</v>
      </c>
      <c r="I125" s="2" t="str">
        <f aca="false">_xlfn.CONCAT(E125,":'",G125,"',")</f>
        <v>:'8',</v>
      </c>
      <c r="J125" s="2" t="str">
        <f aca="false">CONCATENATE("if(${p_weight}&gt;0,",formula!$H125,",",formula!$I125,")")</f>
        <v>if(${p_weight}&gt;0,36:'8',,:'8',)</v>
      </c>
      <c r="K125" s="2" t="e">
        <f aca="false">GENERATEDRUGSTRING(formula!$C125,formula!$D125,formula!$G125,formula!$B$2:$B$19)</f>
        <v>#VALUE!</v>
      </c>
      <c r="L125" s="2" t="e">
        <f aca="false">CONCATENATE(formula!$K125,IF(TRIM(formula!$K125)="",""," "),IF(formula!$A125=A126,L126,""))</f>
        <v>#VALUE!</v>
      </c>
    </row>
    <row r="126" customFormat="false" ht="15.65" hidden="false" customHeight="false" outlineLevel="0" collapsed="false">
      <c r="A126" s="1" t="s">
        <v>50</v>
      </c>
      <c r="B126" s="1" t="str">
        <f aca="false">IF(formula!$A126&lt;&gt;A125,formula!$A126,"")</f>
        <v>am_lu_tab</v>
      </c>
      <c r="C126" s="1" t="n">
        <v>0</v>
      </c>
      <c r="D126" s="1" t="n">
        <v>3</v>
      </c>
      <c r="E126" s="1"/>
      <c r="F126" s="1"/>
      <c r="G126" s="1" t="n">
        <v>0</v>
      </c>
      <c r="H126" s="2" t="str">
        <f aca="false">_xlfn.CONCAT(C126,":'",G126,"',")</f>
        <v>0:'0',</v>
      </c>
      <c r="I126" s="2" t="str">
        <f aca="false">_xlfn.CONCAT(E126,":'",G126,"',")</f>
        <v>:'0',</v>
      </c>
      <c r="J126" s="2" t="str">
        <f aca="false">CONCATENATE("if(${p_weight}&gt;0,",formula!$H126,",",formula!$I126,")")</f>
        <v>if(${p_weight}&gt;0,0:'0',,:'0',)</v>
      </c>
      <c r="K126" s="2" t="e">
        <f aca="false">GENERATEDRUGSTRING(formula!$C126,formula!$D126,formula!$G126,formula!$B$2:$B$19)</f>
        <v>#VALUE!</v>
      </c>
      <c r="L126" s="2" t="e">
        <f aca="false">CONCATENATE(formula!$K126,IF(TRIM(formula!$K126)="",""," "),IF(formula!$A126=A127,L127,""))</f>
        <v>#VALUE!</v>
      </c>
    </row>
    <row r="127" customFormat="false" ht="15.65" hidden="false" customHeight="false" outlineLevel="0" collapsed="false">
      <c r="A127" s="1" t="s">
        <v>50</v>
      </c>
      <c r="B127" s="1" t="str">
        <f aca="false">IF(formula!$A127&lt;&gt;A126,formula!$A127,"")</f>
        <v/>
      </c>
      <c r="C127" s="1" t="n">
        <v>3</v>
      </c>
      <c r="D127" s="1" t="n">
        <v>5</v>
      </c>
      <c r="E127" s="1"/>
      <c r="F127" s="1"/>
      <c r="G127" s="1" t="n">
        <v>1</v>
      </c>
      <c r="H127" s="2" t="str">
        <f aca="false">_xlfn.CONCAT(C127,":'",G127,"',")</f>
        <v>3:'1',</v>
      </c>
      <c r="I127" s="2" t="str">
        <f aca="false">_xlfn.CONCAT(E127,":'",G127,"',")</f>
        <v>:'1',</v>
      </c>
      <c r="J127" s="2" t="str">
        <f aca="false">CONCATENATE("if(${p_weight}&gt;0,",formula!$H127,",",formula!$I127,")")</f>
        <v>if(${p_weight}&gt;0,3:'1',,:'1',)</v>
      </c>
      <c r="K127" s="2" t="e">
        <f aca="false">GENERATEDRUGSTRING(formula!$C127,formula!$D127,formula!$G127,formula!$B$2:$B$19)</f>
        <v>#VALUE!</v>
      </c>
      <c r="L127" s="2" t="e">
        <f aca="false">CONCATENATE(formula!$K127,IF(TRIM(formula!$K127)="",""," "),IF(formula!$A127=A128,L128,""))</f>
        <v>#VALUE!</v>
      </c>
    </row>
    <row r="128" customFormat="false" ht="15.65" hidden="false" customHeight="false" outlineLevel="0" collapsed="false">
      <c r="A128" s="1" t="s">
        <v>50</v>
      </c>
      <c r="B128" s="1" t="str">
        <f aca="false">IF(formula!$A128&lt;&gt;A127,formula!$A128,"")</f>
        <v/>
      </c>
      <c r="C128" s="1" t="n">
        <v>5</v>
      </c>
      <c r="D128" s="1" t="n">
        <v>15</v>
      </c>
      <c r="E128" s="1"/>
      <c r="F128" s="1"/>
      <c r="G128" s="1" t="n">
        <v>1</v>
      </c>
      <c r="H128" s="2" t="str">
        <f aca="false">_xlfn.CONCAT(C128,":'",G128,"',")</f>
        <v>5:'1',</v>
      </c>
      <c r="I128" s="2" t="str">
        <f aca="false">_xlfn.CONCAT(E128,":'",G128,"',")</f>
        <v>:'1',</v>
      </c>
      <c r="J128" s="2" t="str">
        <f aca="false">CONCATENATE("if(${p_weight}&gt;0,",formula!$H128,",",formula!$I128,")")</f>
        <v>if(${p_weight}&gt;0,5:'1',,:'1',)</v>
      </c>
      <c r="K128" s="2" t="e">
        <f aca="false">GENERATEDRUGSTRING(formula!$C128,formula!$D128,formula!$G128,formula!$B$2:$B$19)</f>
        <v>#VALUE!</v>
      </c>
      <c r="L128" s="2" t="e">
        <f aca="false">CONCATENATE(formula!$K128,IF(TRIM(formula!$K128)="",""," "),IF(formula!$A128=A129,L129,""))</f>
        <v>#VALUE!</v>
      </c>
    </row>
    <row r="129" customFormat="false" ht="15.65" hidden="false" customHeight="false" outlineLevel="0" collapsed="false">
      <c r="A129" s="1" t="s">
        <v>50</v>
      </c>
      <c r="B129" s="1" t="str">
        <f aca="false">IF(formula!$A129&lt;&gt;A128,formula!$A129,"")</f>
        <v/>
      </c>
      <c r="C129" s="1" t="n">
        <v>15</v>
      </c>
      <c r="D129" s="1" t="n">
        <v>25</v>
      </c>
      <c r="E129" s="1"/>
      <c r="F129" s="1"/>
      <c r="G129" s="1" t="n">
        <v>2</v>
      </c>
      <c r="H129" s="2" t="str">
        <f aca="false">_xlfn.CONCAT(C129,":'",G129,"',")</f>
        <v>15:'2',</v>
      </c>
      <c r="I129" s="2" t="str">
        <f aca="false">_xlfn.CONCAT(E129,":'",G129,"',")</f>
        <v>:'2',</v>
      </c>
      <c r="J129" s="2" t="str">
        <f aca="false">CONCATENATE("if(${p_weight}&gt;0,",formula!$H129,",",formula!$I129,")")</f>
        <v>if(${p_weight}&gt;0,15:'2',,:'2',)</v>
      </c>
      <c r="K129" s="2" t="e">
        <f aca="false">GENERATEDRUGSTRING(formula!$C129,formula!$D129,formula!$G129,formula!$B$2:$B$19)</f>
        <v>#VALUE!</v>
      </c>
      <c r="L129" s="2" t="e">
        <f aca="false">CONCATENATE(formula!$K129,IF(TRIM(formula!$K129)="",""," "),IF(formula!$A129=A130,L130,""))</f>
        <v>#VALUE!</v>
      </c>
    </row>
    <row r="130" customFormat="false" ht="15.65" hidden="false" customHeight="false" outlineLevel="0" collapsed="false">
      <c r="A130" s="1" t="s">
        <v>50</v>
      </c>
      <c r="B130" s="1" t="str">
        <f aca="false">IF(formula!$A130&lt;&gt;A129,formula!$A130,"")</f>
        <v/>
      </c>
      <c r="C130" s="1" t="n">
        <v>25</v>
      </c>
      <c r="D130" s="1" t="n">
        <v>100</v>
      </c>
      <c r="E130" s="1"/>
      <c r="F130" s="1"/>
      <c r="G130" s="1" t="n">
        <v>3</v>
      </c>
      <c r="H130" s="2" t="str">
        <f aca="false">_xlfn.CONCAT(C130,":'",G130,"',")</f>
        <v>25:'3',</v>
      </c>
      <c r="I130" s="2" t="str">
        <f aca="false">_xlfn.CONCAT(E130,":'",G130,"',")</f>
        <v>:'3',</v>
      </c>
      <c r="J130" s="2" t="str">
        <f aca="false">CONCATENATE("if(${p_weight}&gt;0,",formula!$H130,",",formula!$I130,")")</f>
        <v>if(${p_weight}&gt;0,25:'3',,:'3',)</v>
      </c>
      <c r="K130" s="2" t="e">
        <f aca="false">GENERATEDRUGSTRING(formula!$C130,formula!$D130,formula!$G130,formula!$B$2:$B$19)</f>
        <v>#VALUE!</v>
      </c>
      <c r="L130" s="2" t="e">
        <f aca="false">CONCATENATE(formula!$K130,IF(TRIM(formula!$K130)="",""," "),IF(formula!$A130=A131,L131,""))</f>
        <v>#VALUE!</v>
      </c>
    </row>
    <row r="131" customFormat="false" ht="15.65" hidden="false" customHeight="false" outlineLevel="0" collapsed="false">
      <c r="A131" s="1" t="s">
        <v>51</v>
      </c>
      <c r="B131" s="1" t="str">
        <f aca="false">IF(formula!$A131&lt;&gt;A130,formula!$A131,"")</f>
        <v>gentamicin_ml</v>
      </c>
      <c r="C131" s="1" t="n">
        <v>0</v>
      </c>
      <c r="D131" s="1" t="n">
        <v>4</v>
      </c>
      <c r="E131" s="1" t="n">
        <v>0</v>
      </c>
      <c r="F131" s="1" t="n">
        <v>2</v>
      </c>
      <c r="G131" s="1" t="n">
        <v>0</v>
      </c>
      <c r="H131" s="2" t="str">
        <f aca="false">_xlfn.CONCAT(C131,":'",G131,"',")</f>
        <v>0:'0',</v>
      </c>
      <c r="I131" s="2" t="str">
        <f aca="false">_xlfn.CONCAT(E131,":'",G131,"',")</f>
        <v>0:'0',</v>
      </c>
      <c r="J131" s="2" t="str">
        <f aca="false">CONCATENATE("if(${p_weight}&gt;0,",formula!$H131,",",formula!$I131,")")</f>
        <v>if(${p_weight}&gt;0,0:'0',,0:'0',)</v>
      </c>
      <c r="K131" s="2" t="e">
        <f aca="false">GENERATEDRUGSTRING(formula!$C131,formula!$D131,formula!$G131,formula!$B$2:$B$19)</f>
        <v>#VALUE!</v>
      </c>
      <c r="L131" s="2" t="e">
        <f aca="false">CONCATENATE(formula!$K131,IF(TRIM(formula!$K131)="",""," "),IF(formula!$A131=A132,L132,""))</f>
        <v>#VALUE!</v>
      </c>
    </row>
    <row r="132" customFormat="false" ht="15.65" hidden="false" customHeight="false" outlineLevel="0" collapsed="false">
      <c r="A132" s="1" t="s">
        <v>51</v>
      </c>
      <c r="B132" s="1" t="str">
        <f aca="false">IF(formula!$A132&lt;&gt;A131,formula!$A132,"")</f>
        <v/>
      </c>
      <c r="C132" s="1" t="n">
        <v>4</v>
      </c>
      <c r="D132" s="1" t="n">
        <v>6</v>
      </c>
      <c r="E132" s="1" t="n">
        <v>2</v>
      </c>
      <c r="F132" s="1" t="n">
        <v>4</v>
      </c>
      <c r="G132" s="1" t="n">
        <v>3</v>
      </c>
      <c r="H132" s="2" t="str">
        <f aca="false">_xlfn.CONCAT(C132,":'",G132,"',")</f>
        <v>4:'3',</v>
      </c>
      <c r="I132" s="2" t="str">
        <f aca="false">_xlfn.CONCAT(E132,":'",G132,"',")</f>
        <v>2:'3',</v>
      </c>
      <c r="J132" s="2" t="str">
        <f aca="false">CONCATENATE("if(${p_weight}&gt;0,",formula!$H132,",",formula!$I132,")")</f>
        <v>if(${p_weight}&gt;0,4:'3',,2:'3',)</v>
      </c>
      <c r="K132" s="2" t="e">
        <f aca="false">GENERATEDRUGSTRING(formula!$C132,formula!$D132,formula!$G132,formula!$B$2:$B$19)</f>
        <v>#VALUE!</v>
      </c>
      <c r="L132" s="2" t="e">
        <f aca="false">CONCATENATE(formula!$K132,IF(TRIM(formula!$K132)="",""," "),IF(formula!$A132=A133,L133,""))</f>
        <v>#VALUE!</v>
      </c>
    </row>
    <row r="133" customFormat="false" ht="15.65" hidden="false" customHeight="false" outlineLevel="0" collapsed="false">
      <c r="A133" s="1" t="s">
        <v>51</v>
      </c>
      <c r="B133" s="1" t="str">
        <f aca="false">IF(formula!$A133&lt;&gt;A132,formula!$A133,"")</f>
        <v/>
      </c>
      <c r="C133" s="1" t="n">
        <v>6</v>
      </c>
      <c r="D133" s="1" t="n">
        <v>8</v>
      </c>
      <c r="E133" s="1" t="n">
        <v>4</v>
      </c>
      <c r="F133" s="1" t="n">
        <v>9</v>
      </c>
      <c r="G133" s="1" t="n">
        <v>4.5</v>
      </c>
      <c r="H133" s="2" t="str">
        <f aca="false">_xlfn.CONCAT(C133,":'",G133,"',")</f>
        <v>6:'4.5',</v>
      </c>
      <c r="I133" s="2" t="str">
        <f aca="false">_xlfn.CONCAT(E133,":'",G133,"',")</f>
        <v>4:'4.5',</v>
      </c>
      <c r="J133" s="2" t="str">
        <f aca="false">CONCATENATE("if(${p_weight}&gt;0,",formula!$H133,",",formula!$I133,")")</f>
        <v>if(${p_weight}&gt;0,6:'4.5',,4:'4.5',)</v>
      </c>
      <c r="K133" s="2" t="e">
        <f aca="false">GENERATEDRUGSTRING(formula!$C133,formula!$D133,formula!$G133,formula!$B$2:$B$19)</f>
        <v>#VALUE!</v>
      </c>
      <c r="L133" s="2" t="e">
        <f aca="false">CONCATENATE(formula!$K133,IF(TRIM(formula!$K133)="",""," "),IF(formula!$A133=A134,L134,""))</f>
        <v>#VALUE!</v>
      </c>
    </row>
    <row r="134" customFormat="false" ht="15.65" hidden="false" customHeight="false" outlineLevel="0" collapsed="false">
      <c r="A134" s="1" t="s">
        <v>51</v>
      </c>
      <c r="B134" s="1" t="str">
        <f aca="false">IF(formula!$A134&lt;&gt;A133,formula!$A134,"")</f>
        <v/>
      </c>
      <c r="C134" s="1" t="n">
        <v>8</v>
      </c>
      <c r="D134" s="1" t="n">
        <v>10</v>
      </c>
      <c r="E134" s="1" t="n">
        <v>9</v>
      </c>
      <c r="F134" s="1" t="n">
        <v>12</v>
      </c>
      <c r="G134" s="1" t="n">
        <v>6</v>
      </c>
      <c r="H134" s="2" t="str">
        <f aca="false">_xlfn.CONCAT(C134,":'",G134,"',")</f>
        <v>8:'6',</v>
      </c>
      <c r="I134" s="2" t="str">
        <f aca="false">_xlfn.CONCAT(E134,":'",G134,"',")</f>
        <v>9:'6',</v>
      </c>
      <c r="J134" s="2" t="str">
        <f aca="false">CONCATENATE("if(${p_weight}&gt;0,",formula!$H134,",",formula!$I134,")")</f>
        <v>if(${p_weight}&gt;0,8:'6',,9:'6',)</v>
      </c>
      <c r="K134" s="2" t="e">
        <f aca="false">GENERATEDRUGSTRING(formula!$C134,formula!$D134,formula!$G134,formula!$B$2:$B$19)</f>
        <v>#VALUE!</v>
      </c>
      <c r="L134" s="2" t="e">
        <f aca="false">CONCATENATE(formula!$K134,IF(TRIM(formula!$K134)="",""," "),IF(formula!$A134=A135,L135,""))</f>
        <v>#VALUE!</v>
      </c>
    </row>
    <row r="135" customFormat="false" ht="15.65" hidden="false" customHeight="false" outlineLevel="0" collapsed="false">
      <c r="A135" s="1" t="s">
        <v>51</v>
      </c>
      <c r="B135" s="1" t="str">
        <f aca="false">IF(formula!$A135&lt;&gt;A134,formula!$A135,"")</f>
        <v/>
      </c>
      <c r="C135" s="1" t="n">
        <v>10</v>
      </c>
      <c r="D135" s="1" t="n">
        <v>14</v>
      </c>
      <c r="E135" s="1" t="n">
        <v>12</v>
      </c>
      <c r="F135" s="1" t="n">
        <v>36</v>
      </c>
      <c r="G135" s="1" t="n">
        <v>7.5</v>
      </c>
      <c r="H135" s="2" t="str">
        <f aca="false">_xlfn.CONCAT(C135,":'",G135,"',")</f>
        <v>10:'7.5',</v>
      </c>
      <c r="I135" s="2" t="str">
        <f aca="false">_xlfn.CONCAT(E135,":'",G135,"',")</f>
        <v>12:'7.5',</v>
      </c>
      <c r="J135" s="2" t="str">
        <f aca="false">CONCATENATE("if(${p_weight}&gt;0,",formula!$H135,",",formula!$I135,")")</f>
        <v>if(${p_weight}&gt;0,10:'7.5',,12:'7.5',)</v>
      </c>
      <c r="K135" s="2" t="e">
        <f aca="false">GENERATEDRUGSTRING(formula!$C135,formula!$D135,formula!$G135,formula!$B$2:$B$19)</f>
        <v>#VALUE!</v>
      </c>
      <c r="L135" s="2" t="e">
        <f aca="false">CONCATENATE(formula!$K135,IF(TRIM(formula!$K135)="",""," "),IF(formula!$A135=A136,L136,""))</f>
        <v>#VALUE!</v>
      </c>
    </row>
    <row r="136" customFormat="false" ht="15.65" hidden="false" customHeight="false" outlineLevel="0" collapsed="false">
      <c r="A136" s="1" t="s">
        <v>51</v>
      </c>
      <c r="B136" s="1" t="str">
        <f aca="false">IF(formula!$A136&lt;&gt;A135,formula!$A136,"")</f>
        <v/>
      </c>
      <c r="C136" s="1" t="n">
        <v>14</v>
      </c>
      <c r="D136" s="1" t="n">
        <v>100</v>
      </c>
      <c r="E136" s="1" t="n">
        <v>36</v>
      </c>
      <c r="F136" s="1" t="n">
        <v>61</v>
      </c>
      <c r="G136" s="1" t="n">
        <v>10</v>
      </c>
      <c r="H136" s="2" t="str">
        <f aca="false">_xlfn.CONCAT(C136,":'",G136,"',")</f>
        <v>14:'10',</v>
      </c>
      <c r="I136" s="2" t="str">
        <f aca="false">_xlfn.CONCAT(E136,":'",G136,"',")</f>
        <v>36:'10',</v>
      </c>
      <c r="J136" s="2" t="str">
        <f aca="false">CONCATENATE("if(${p_weight}&gt;0,",formula!$H136,",",formula!$I136,")")</f>
        <v>if(${p_weight}&gt;0,14:'10',,36:'10',)</v>
      </c>
      <c r="K136" s="2" t="e">
        <f aca="false">GENERATEDRUGSTRING(formula!$C136,formula!$D136,formula!$G136,formula!$B$2:$B$19)</f>
        <v>#VALUE!</v>
      </c>
      <c r="L136" s="2" t="e">
        <f aca="false">CONCATENATE(formula!$K136,IF(TRIM(formula!$K136)="",""," "),IF(formula!$A136=A137,L137,""))</f>
        <v>#VALUE!</v>
      </c>
    </row>
    <row r="137" customFormat="false" ht="15.65" hidden="false" customHeight="false" outlineLevel="0" collapsed="false">
      <c r="A137" s="1" t="s">
        <v>52</v>
      </c>
      <c r="B137" s="1" t="str">
        <f aca="false">IF(formula!$A137&lt;&gt;A136,formula!$A137,"")</f>
        <v>ceftriaxon_80_ml</v>
      </c>
      <c r="C137" s="1" t="n">
        <v>0</v>
      </c>
      <c r="D137" s="1" t="n">
        <v>3</v>
      </c>
      <c r="E137" s="1" t="n">
        <v>0</v>
      </c>
      <c r="F137" s="1" t="n">
        <v>2</v>
      </c>
      <c r="G137" s="1" t="n">
        <v>0</v>
      </c>
      <c r="H137" s="2" t="str">
        <f aca="false">_xlfn.CONCAT(C137,":'",G137,"',")</f>
        <v>0:'0',</v>
      </c>
      <c r="I137" s="2" t="str">
        <f aca="false">_xlfn.CONCAT(E137,":'",G137,"',")</f>
        <v>0:'0',</v>
      </c>
      <c r="J137" s="2" t="str">
        <f aca="false">CONCATENATE("if(${p_weight}&gt;0,",formula!$H137,",",formula!$I137,")")</f>
        <v>if(${p_weight}&gt;0,0:'0',,0:'0',)</v>
      </c>
      <c r="K137" s="2" t="e">
        <f aca="false">GENERATEDRUGSTRING(formula!$C137,formula!$D137,formula!$G137,formula!$B$2:$B$19)</f>
        <v>#VALUE!</v>
      </c>
      <c r="L137" s="2" t="e">
        <f aca="false">CONCATENATE(formula!$K137,IF(TRIM(formula!$K137)="",""," "),IF(formula!$A137=A138,L138,""))</f>
        <v>#VALUE!</v>
      </c>
    </row>
    <row r="138" customFormat="false" ht="15.65" hidden="false" customHeight="false" outlineLevel="0" collapsed="false">
      <c r="A138" s="1" t="s">
        <v>52</v>
      </c>
      <c r="B138" s="1" t="str">
        <f aca="false">IF(formula!$A138&lt;&gt;A137,formula!$A138,"")</f>
        <v/>
      </c>
      <c r="C138" s="1" t="n">
        <v>3</v>
      </c>
      <c r="D138" s="1" t="n">
        <v>4.5</v>
      </c>
      <c r="E138" s="1" t="n">
        <v>2</v>
      </c>
      <c r="F138" s="1" t="n">
        <v>3</v>
      </c>
      <c r="G138" s="1" t="n">
        <v>0.9</v>
      </c>
      <c r="H138" s="2" t="str">
        <f aca="false">_xlfn.CONCAT(C138,":'",G138,"',")</f>
        <v>3:'0.9',</v>
      </c>
      <c r="I138" s="2" t="str">
        <f aca="false">_xlfn.CONCAT(E138,":'",G138,"',")</f>
        <v>2:'0.9',</v>
      </c>
      <c r="J138" s="2" t="str">
        <f aca="false">CONCATENATE("if(${p_weight}&gt;0,",formula!$H138,",",formula!$I138,")")</f>
        <v>if(${p_weight}&gt;0,3:'0.9',,2:'0.9',)</v>
      </c>
      <c r="K138" s="2" t="e">
        <f aca="false">GENERATEDRUGSTRING(formula!$C138,formula!$D138,formula!$G138,formula!$B$2:$B$19)</f>
        <v>#VALUE!</v>
      </c>
      <c r="L138" s="2" t="e">
        <f aca="false">CONCATENATE(formula!$K138,IF(TRIM(formula!$K138)="",""," "),IF(formula!$A138=A139,L139,""))</f>
        <v>#VALUE!</v>
      </c>
    </row>
    <row r="139" customFormat="false" ht="15.65" hidden="false" customHeight="false" outlineLevel="0" collapsed="false">
      <c r="A139" s="1" t="s">
        <v>52</v>
      </c>
      <c r="B139" s="1" t="str">
        <f aca="false">IF(formula!$A139&lt;&gt;A138,formula!$A139,"")</f>
        <v/>
      </c>
      <c r="C139" s="1" t="n">
        <v>4.5</v>
      </c>
      <c r="D139" s="1" t="n">
        <v>6</v>
      </c>
      <c r="E139" s="1" t="n">
        <v>3</v>
      </c>
      <c r="F139" s="1" t="n">
        <v>4</v>
      </c>
      <c r="G139" s="1" t="n">
        <v>1.2</v>
      </c>
      <c r="H139" s="2" t="str">
        <f aca="false">_xlfn.CONCAT(C139,":'",G139,"',")</f>
        <v>4.5:'1.2',</v>
      </c>
      <c r="I139" s="2" t="str">
        <f aca="false">_xlfn.CONCAT(E139,":'",G139,"',")</f>
        <v>3:'1.2',</v>
      </c>
      <c r="J139" s="2" t="str">
        <f aca="false">CONCATENATE("if(${p_weight}&gt;0,",formula!$H139,",",formula!$I139,")")</f>
        <v>if(${p_weight}&gt;0,4.5:'1.2',,3:'1.2',)</v>
      </c>
      <c r="K139" s="2" t="e">
        <f aca="false">GENERATEDRUGSTRING(formula!$C139,formula!$D139,formula!$G139,formula!$B$2:$B$19)</f>
        <v>#VALUE!</v>
      </c>
      <c r="L139" s="2" t="e">
        <f aca="false">CONCATENATE(formula!$K139,IF(TRIM(formula!$K139)="",""," "),IF(formula!$A139=A140,L140,""))</f>
        <v>#VALUE!</v>
      </c>
    </row>
    <row r="140" customFormat="false" ht="15.65" hidden="false" customHeight="false" outlineLevel="0" collapsed="false">
      <c r="A140" s="1" t="s">
        <v>52</v>
      </c>
      <c r="B140" s="1" t="str">
        <f aca="false">IF(formula!$A140&lt;&gt;A139,formula!$A140,"")</f>
        <v/>
      </c>
      <c r="C140" s="1" t="n">
        <v>6</v>
      </c>
      <c r="D140" s="1" t="n">
        <v>8</v>
      </c>
      <c r="E140" s="1" t="n">
        <v>4</v>
      </c>
      <c r="F140" s="1" t="n">
        <v>10</v>
      </c>
      <c r="G140" s="1" t="n">
        <v>1.6</v>
      </c>
      <c r="H140" s="2" t="str">
        <f aca="false">_xlfn.CONCAT(C140,":'",G140,"',")</f>
        <v>6:'1.6',</v>
      </c>
      <c r="I140" s="2" t="str">
        <f aca="false">_xlfn.CONCAT(E140,":'",G140,"',")</f>
        <v>4:'1.6',</v>
      </c>
      <c r="J140" s="2" t="str">
        <f aca="false">CONCATENATE("if(${p_weight}&gt;0,",formula!$H140,",",formula!$I140,")")</f>
        <v>if(${p_weight}&gt;0,6:'1.6',,4:'1.6',)</v>
      </c>
      <c r="K140" s="2" t="e">
        <f aca="false">GENERATEDRUGSTRING(formula!$C140,formula!$D140,formula!$G140,formula!$B$2:$B$19)</f>
        <v>#VALUE!</v>
      </c>
      <c r="L140" s="2" t="e">
        <f aca="false">CONCATENATE(formula!$K140,IF(TRIM(formula!$K140)="",""," "),IF(formula!$A140=A141,L141,""))</f>
        <v>#VALUE!</v>
      </c>
    </row>
    <row r="141" customFormat="false" ht="15.65" hidden="false" customHeight="false" outlineLevel="0" collapsed="false">
      <c r="A141" s="1" t="s">
        <v>52</v>
      </c>
      <c r="B141" s="1" t="str">
        <f aca="false">IF(formula!$A141&lt;&gt;A140,formula!$A141,"")</f>
        <v/>
      </c>
      <c r="C141" s="1" t="n">
        <v>8</v>
      </c>
      <c r="D141" s="1" t="n">
        <v>10</v>
      </c>
      <c r="E141" s="1" t="n">
        <v>10</v>
      </c>
      <c r="F141" s="1" t="n">
        <v>12</v>
      </c>
      <c r="G141" s="1" t="n">
        <v>2</v>
      </c>
      <c r="H141" s="2" t="str">
        <f aca="false">_xlfn.CONCAT(C141,":'",G141,"',")</f>
        <v>8:'2',</v>
      </c>
      <c r="I141" s="2" t="str">
        <f aca="false">_xlfn.CONCAT(E141,":'",G141,"',")</f>
        <v>10:'2',</v>
      </c>
      <c r="J141" s="2" t="str">
        <f aca="false">CONCATENATE("if(${p_weight}&gt;0,",formula!$H141,",",formula!$I141,")")</f>
        <v>if(${p_weight}&gt;0,8:'2',,10:'2',)</v>
      </c>
      <c r="K141" s="2" t="e">
        <f aca="false">GENERATEDRUGSTRING(formula!$C141,formula!$D141,formula!$G141,formula!$B$2:$B$19)</f>
        <v>#VALUE!</v>
      </c>
      <c r="L141" s="2" t="e">
        <f aca="false">CONCATENATE(formula!$K141,IF(TRIM(formula!$K141)="",""," "),IF(formula!$A141=A142,L142,""))</f>
        <v>#VALUE!</v>
      </c>
    </row>
    <row r="142" customFormat="false" ht="15.65" hidden="false" customHeight="false" outlineLevel="0" collapsed="false">
      <c r="A142" s="1" t="s">
        <v>52</v>
      </c>
      <c r="B142" s="1" t="str">
        <f aca="false">IF(formula!$A142&lt;&gt;A141,formula!$A142,"")</f>
        <v/>
      </c>
      <c r="C142" s="1" t="n">
        <v>10</v>
      </c>
      <c r="D142" s="1" t="n">
        <v>12</v>
      </c>
      <c r="E142" s="1" t="n">
        <v>12</v>
      </c>
      <c r="F142" s="1" t="n">
        <v>24</v>
      </c>
      <c r="G142" s="1" t="n">
        <v>2.4</v>
      </c>
      <c r="H142" s="2" t="str">
        <f aca="false">_xlfn.CONCAT(C142,":'",G142,"',")</f>
        <v>10:'2.4',</v>
      </c>
      <c r="I142" s="2" t="str">
        <f aca="false">_xlfn.CONCAT(E142,":'",G142,"',")</f>
        <v>12:'2.4',</v>
      </c>
      <c r="J142" s="2" t="str">
        <f aca="false">CONCATENATE("if(${p_weight}&gt;0,",formula!$H142,",",formula!$I142,")")</f>
        <v>if(${p_weight}&gt;0,10:'2.4',,12:'2.4',)</v>
      </c>
      <c r="K142" s="2" t="e">
        <f aca="false">GENERATEDRUGSTRING(formula!$C142,formula!$D142,formula!$G142,formula!$B$2:$B$19)</f>
        <v>#VALUE!</v>
      </c>
      <c r="L142" s="2" t="e">
        <f aca="false">CONCATENATE(formula!$K142,IF(TRIM(formula!$K142)="",""," "),IF(formula!$A142=A143,L143,""))</f>
        <v>#VALUE!</v>
      </c>
    </row>
    <row r="143" customFormat="false" ht="15.65" hidden="false" customHeight="false" outlineLevel="0" collapsed="false">
      <c r="A143" s="1" t="s">
        <v>52</v>
      </c>
      <c r="B143" s="1" t="str">
        <f aca="false">IF(formula!$A143&lt;&gt;A142,formula!$A143,"")</f>
        <v/>
      </c>
      <c r="C143" s="1" t="n">
        <v>12</v>
      </c>
      <c r="D143" s="1" t="n">
        <v>15</v>
      </c>
      <c r="E143" s="1" t="n">
        <v>24</v>
      </c>
      <c r="F143" s="1" t="n">
        <v>36</v>
      </c>
      <c r="G143" s="1" t="n">
        <v>3</v>
      </c>
      <c r="H143" s="2" t="str">
        <f aca="false">_xlfn.CONCAT(C143,":'",G143,"',")</f>
        <v>12:'3',</v>
      </c>
      <c r="I143" s="2" t="str">
        <f aca="false">_xlfn.CONCAT(E143,":'",G143,"',")</f>
        <v>24:'3',</v>
      </c>
      <c r="J143" s="2" t="str">
        <f aca="false">CONCATENATE("if(${p_weight}&gt;0,",formula!$H143,",",formula!$I143,")")</f>
        <v>if(${p_weight}&gt;0,12:'3',,24:'3',)</v>
      </c>
      <c r="K143" s="2" t="e">
        <f aca="false">GENERATEDRUGSTRING(formula!$C143,formula!$D143,formula!$G143,formula!$B$2:$B$19)</f>
        <v>#VALUE!</v>
      </c>
      <c r="L143" s="2" t="e">
        <f aca="false">CONCATENATE(formula!$K143,IF(TRIM(formula!$K143)="",""," "),IF(formula!$A143=A144,L144,""))</f>
        <v>#VALUE!</v>
      </c>
    </row>
    <row r="144" customFormat="false" ht="15.65" hidden="false" customHeight="false" outlineLevel="0" collapsed="false">
      <c r="A144" s="1" t="s">
        <v>52</v>
      </c>
      <c r="B144" s="1" t="str">
        <f aca="false">IF(formula!$A144&lt;&gt;A143,formula!$A144,"")</f>
        <v/>
      </c>
      <c r="C144" s="1" t="n">
        <v>15</v>
      </c>
      <c r="D144" s="1" t="n">
        <v>20</v>
      </c>
      <c r="E144" s="1" t="n">
        <v>36</v>
      </c>
      <c r="F144" s="1" t="n">
        <v>48</v>
      </c>
      <c r="G144" s="1" t="n">
        <v>4</v>
      </c>
      <c r="H144" s="2" t="str">
        <f aca="false">_xlfn.CONCAT(C144,":'",G144,"',")</f>
        <v>15:'4',</v>
      </c>
      <c r="I144" s="2" t="str">
        <f aca="false">_xlfn.CONCAT(E144,":'",G144,"',")</f>
        <v>36:'4',</v>
      </c>
      <c r="J144" s="2" t="str">
        <f aca="false">CONCATENATE("if(${p_weight}&gt;0,",formula!$H144,",",formula!$I144,")")</f>
        <v>if(${p_weight}&gt;0,15:'4',,36:'4',)</v>
      </c>
      <c r="K144" s="2" t="e">
        <f aca="false">GENERATEDRUGSTRING(formula!$C144,formula!$D144,formula!$G144,formula!$B$2:$B$19)</f>
        <v>#VALUE!</v>
      </c>
      <c r="L144" s="2" t="e">
        <f aca="false">CONCATENATE(formula!$K144,IF(TRIM(formula!$K144)="",""," "),IF(formula!$A144=A145,L145,""))</f>
        <v>#VALUE!</v>
      </c>
    </row>
    <row r="145" customFormat="false" ht="15.65" hidden="false" customHeight="false" outlineLevel="0" collapsed="false">
      <c r="A145" s="1" t="s">
        <v>52</v>
      </c>
      <c r="B145" s="1" t="str">
        <f aca="false">IF(formula!$A145&lt;&gt;A144,formula!$A145,"")</f>
        <v/>
      </c>
      <c r="C145" s="1" t="n">
        <v>20</v>
      </c>
      <c r="D145" s="1" t="n">
        <v>100</v>
      </c>
      <c r="E145" s="1" t="n">
        <v>48</v>
      </c>
      <c r="F145" s="1" t="n">
        <v>61</v>
      </c>
      <c r="G145" s="1" t="n">
        <v>5</v>
      </c>
      <c r="H145" s="2" t="str">
        <f aca="false">_xlfn.CONCAT(C145,":'",G145,"',")</f>
        <v>20:'5',</v>
      </c>
      <c r="I145" s="2" t="str">
        <f aca="false">_xlfn.CONCAT(E145,":'",G145,"',")</f>
        <v>48:'5',</v>
      </c>
      <c r="J145" s="2" t="str">
        <f aca="false">CONCATENATE("if(${p_weight}&gt;0,",formula!$H145,",",formula!$I145,")")</f>
        <v>if(${p_weight}&gt;0,20:'5',,48:'5',)</v>
      </c>
      <c r="K145" s="2" t="e">
        <f aca="false">GENERATEDRUGSTRING(formula!$C145,formula!$D145,formula!$G145,formula!$B$2:$B$19)</f>
        <v>#VALUE!</v>
      </c>
      <c r="L145" s="2" t="e">
        <f aca="false">CONCATENATE(formula!$K145,IF(TRIM(formula!$K145)="",""," "),IF(formula!$A145=A146,L146,""))</f>
        <v>#VALUE!</v>
      </c>
    </row>
    <row r="146" customFormat="false" ht="15.65" hidden="false" customHeight="false" outlineLevel="0" collapsed="false">
      <c r="A146" s="1" t="s">
        <v>53</v>
      </c>
      <c r="B146" s="1" t="str">
        <f aca="false">IF(formula!$A146&lt;&gt;A145,formula!$A146,"")</f>
        <v>ceftriaxon_100_ml</v>
      </c>
      <c r="C146" s="1" t="n">
        <v>0</v>
      </c>
      <c r="D146" s="1" t="n">
        <v>3</v>
      </c>
      <c r="E146" s="1" t="n">
        <v>0</v>
      </c>
      <c r="F146" s="1" t="n">
        <v>2</v>
      </c>
      <c r="G146" s="1" t="n">
        <v>0</v>
      </c>
      <c r="H146" s="2" t="str">
        <f aca="false">_xlfn.CONCAT(C146,":'",G146,"',")</f>
        <v>0:'0',</v>
      </c>
      <c r="I146" s="2" t="str">
        <f aca="false">_xlfn.CONCAT(E146,":'",G146,"',")</f>
        <v>0:'0',</v>
      </c>
      <c r="J146" s="2" t="str">
        <f aca="false">CONCATENATE("if(${p_weight}&gt;0,",formula!$H146,",",formula!$I146,")")</f>
        <v>if(${p_weight}&gt;0,0:'0',,0:'0',)</v>
      </c>
      <c r="K146" s="2" t="e">
        <f aca="false">GENERATEDRUGSTRING(formula!$C146,formula!$D146,formula!$G146,formula!$B$2:$B$19)</f>
        <v>#VALUE!</v>
      </c>
      <c r="L146" s="2" t="e">
        <f aca="false">CONCATENATE(formula!$K146,IF(TRIM(formula!$K146)="",""," "),IF(formula!$A146=A147,L147,""))</f>
        <v>#VALUE!</v>
      </c>
    </row>
    <row r="147" customFormat="false" ht="15.65" hidden="false" customHeight="false" outlineLevel="0" collapsed="false">
      <c r="A147" s="1" t="s">
        <v>53</v>
      </c>
      <c r="B147" s="1" t="str">
        <f aca="false">IF(formula!$A147&lt;&gt;A146,formula!$A147,"")</f>
        <v/>
      </c>
      <c r="C147" s="1" t="n">
        <v>3</v>
      </c>
      <c r="D147" s="1" t="n">
        <v>4.5</v>
      </c>
      <c r="E147" s="1" t="n">
        <v>2</v>
      </c>
      <c r="F147" s="1" t="n">
        <v>3</v>
      </c>
      <c r="G147" s="1" t="n">
        <v>1.3</v>
      </c>
      <c r="H147" s="2" t="str">
        <f aca="false">_xlfn.CONCAT(C147,":'",G147,"',")</f>
        <v>3:'1.3',</v>
      </c>
      <c r="I147" s="2" t="str">
        <f aca="false">_xlfn.CONCAT(E147,":'",G147,"',")</f>
        <v>2:'1.3',</v>
      </c>
      <c r="J147" s="2" t="str">
        <f aca="false">CONCATENATE("if(${p_weight}&gt;0,",formula!$H147,",",formula!$I147,")")</f>
        <v>if(${p_weight}&gt;0,3:'1.3',,2:'1.3',)</v>
      </c>
      <c r="K147" s="2" t="e">
        <f aca="false">GENERATEDRUGSTRING(formula!$C147,formula!$D147,formula!$G147,formula!$B$2:$B$19)</f>
        <v>#VALUE!</v>
      </c>
      <c r="L147" s="2" t="e">
        <f aca="false">CONCATENATE(formula!$K147,IF(TRIM(formula!$K147)="",""," "),IF(formula!$A147=A148,L148,""))</f>
        <v>#VALUE!</v>
      </c>
    </row>
    <row r="148" customFormat="false" ht="15.65" hidden="false" customHeight="false" outlineLevel="0" collapsed="false">
      <c r="A148" s="1" t="s">
        <v>53</v>
      </c>
      <c r="B148" s="1" t="str">
        <f aca="false">IF(formula!$A148&lt;&gt;A147,formula!$A148,"")</f>
        <v/>
      </c>
      <c r="C148" s="1" t="n">
        <v>4.5</v>
      </c>
      <c r="D148" s="1" t="n">
        <v>6</v>
      </c>
      <c r="E148" s="1" t="n">
        <v>3</v>
      </c>
      <c r="F148" s="1" t="n">
        <v>4</v>
      </c>
      <c r="G148" s="1" t="n">
        <v>1.8</v>
      </c>
      <c r="H148" s="2" t="str">
        <f aca="false">_xlfn.CONCAT(C148,":'",G148,"',")</f>
        <v>4.5:'1.8',</v>
      </c>
      <c r="I148" s="2" t="str">
        <f aca="false">_xlfn.CONCAT(E148,":'",G148,"',")</f>
        <v>3:'1.8',</v>
      </c>
      <c r="J148" s="2" t="str">
        <f aca="false">CONCATENATE("if(${p_weight}&gt;0,",formula!$H148,",",formula!$I148,")")</f>
        <v>if(${p_weight}&gt;0,4.5:'1.8',,3:'1.8',)</v>
      </c>
      <c r="K148" s="2" t="e">
        <f aca="false">GENERATEDRUGSTRING(formula!$C148,formula!$D148,formula!$G148,formula!$B$2:$B$19)</f>
        <v>#VALUE!</v>
      </c>
      <c r="L148" s="2" t="e">
        <f aca="false">CONCATENATE(formula!$K148,IF(TRIM(formula!$K148)="",""," "),IF(formula!$A148=A149,L149,""))</f>
        <v>#VALUE!</v>
      </c>
    </row>
    <row r="149" customFormat="false" ht="15.65" hidden="false" customHeight="false" outlineLevel="0" collapsed="false">
      <c r="A149" s="1" t="s">
        <v>53</v>
      </c>
      <c r="B149" s="1" t="str">
        <f aca="false">IF(formula!$A149&lt;&gt;A148,formula!$A149,"")</f>
        <v/>
      </c>
      <c r="C149" s="1" t="n">
        <v>6</v>
      </c>
      <c r="D149" s="1" t="n">
        <v>8</v>
      </c>
      <c r="E149" s="1" t="n">
        <v>4</v>
      </c>
      <c r="F149" s="1" t="n">
        <v>10</v>
      </c>
      <c r="G149" s="1" t="n">
        <v>2.4</v>
      </c>
      <c r="H149" s="2" t="str">
        <f aca="false">_xlfn.CONCAT(C149,":'",G149,"',")</f>
        <v>6:'2.4',</v>
      </c>
      <c r="I149" s="2" t="str">
        <f aca="false">_xlfn.CONCAT(E149,":'",G149,"',")</f>
        <v>4:'2.4',</v>
      </c>
      <c r="J149" s="2" t="str">
        <f aca="false">CONCATENATE("if(${p_weight}&gt;0,",formula!$H149,",",formula!$I149,")")</f>
        <v>if(${p_weight}&gt;0,6:'2.4',,4:'2.4',)</v>
      </c>
      <c r="K149" s="2" t="e">
        <f aca="false">GENERATEDRUGSTRING(formula!$C149,formula!$D149,formula!$G149,formula!$B$2:$B$19)</f>
        <v>#VALUE!</v>
      </c>
      <c r="L149" s="2" t="e">
        <f aca="false">CONCATENATE(formula!$K149,IF(TRIM(formula!$K149)="",""," "),IF(formula!$A149=A150,L150,""))</f>
        <v>#VALUE!</v>
      </c>
    </row>
    <row r="150" customFormat="false" ht="15.65" hidden="false" customHeight="false" outlineLevel="0" collapsed="false">
      <c r="A150" s="1" t="s">
        <v>53</v>
      </c>
      <c r="B150" s="1" t="str">
        <f aca="false">IF(formula!$A150&lt;&gt;A149,formula!$A150,"")</f>
        <v/>
      </c>
      <c r="C150" s="1" t="n">
        <v>8</v>
      </c>
      <c r="D150" s="1" t="n">
        <v>10</v>
      </c>
      <c r="E150" s="1" t="n">
        <v>10</v>
      </c>
      <c r="F150" s="1" t="n">
        <v>12</v>
      </c>
      <c r="G150" s="1" t="n">
        <v>3</v>
      </c>
      <c r="H150" s="2" t="str">
        <f aca="false">_xlfn.CONCAT(C150,":'",G150,"',")</f>
        <v>8:'3',</v>
      </c>
      <c r="I150" s="2" t="str">
        <f aca="false">_xlfn.CONCAT(E150,":'",G150,"',")</f>
        <v>10:'3',</v>
      </c>
      <c r="J150" s="2" t="str">
        <f aca="false">CONCATENATE("if(${p_weight}&gt;0,",formula!$H150,",",formula!$I150,")")</f>
        <v>if(${p_weight}&gt;0,8:'3',,10:'3',)</v>
      </c>
      <c r="K150" s="2" t="e">
        <f aca="false">GENERATEDRUGSTRING(formula!$C150,formula!$D150,formula!$G150,formula!$B$2:$B$19)</f>
        <v>#VALUE!</v>
      </c>
      <c r="L150" s="2" t="e">
        <f aca="false">CONCATENATE(formula!$K150,IF(TRIM(formula!$K150)="",""," "),IF(formula!$A150=A151,L151,""))</f>
        <v>#VALUE!</v>
      </c>
    </row>
    <row r="151" customFormat="false" ht="15.65" hidden="false" customHeight="false" outlineLevel="0" collapsed="false">
      <c r="A151" s="1" t="s">
        <v>53</v>
      </c>
      <c r="B151" s="1" t="str">
        <f aca="false">IF(formula!$A151&lt;&gt;A150,formula!$A151,"")</f>
        <v/>
      </c>
      <c r="C151" s="1" t="n">
        <v>10</v>
      </c>
      <c r="D151" s="1" t="n">
        <v>12</v>
      </c>
      <c r="E151" s="1" t="n">
        <v>12</v>
      </c>
      <c r="F151" s="1" t="n">
        <v>24</v>
      </c>
      <c r="G151" s="1" t="n">
        <v>4</v>
      </c>
      <c r="H151" s="2" t="str">
        <f aca="false">_xlfn.CONCAT(C151,":'",G151,"',")</f>
        <v>10:'4',</v>
      </c>
      <c r="I151" s="2" t="str">
        <f aca="false">_xlfn.CONCAT(E151,":'",G151,"',")</f>
        <v>12:'4',</v>
      </c>
      <c r="J151" s="2" t="str">
        <f aca="false">CONCATENATE("if(${p_weight}&gt;0,",formula!$H151,",",formula!$I151,")")</f>
        <v>if(${p_weight}&gt;0,10:'4',,12:'4',)</v>
      </c>
      <c r="K151" s="2" t="e">
        <f aca="false">GENERATEDRUGSTRING(formula!$C151,formula!$D151,formula!$G151,formula!$B$2:$B$19)</f>
        <v>#VALUE!</v>
      </c>
      <c r="L151" s="2" t="e">
        <f aca="false">CONCATENATE(formula!$K151,IF(TRIM(formula!$K151)="",""," "),IF(formula!$A151=A152,L152,""))</f>
        <v>#VALUE!</v>
      </c>
    </row>
    <row r="152" customFormat="false" ht="15.65" hidden="false" customHeight="false" outlineLevel="0" collapsed="false">
      <c r="A152" s="1" t="s">
        <v>53</v>
      </c>
      <c r="B152" s="1" t="str">
        <f aca="false">IF(formula!$A152&lt;&gt;A151,formula!$A152,"")</f>
        <v/>
      </c>
      <c r="C152" s="1" t="n">
        <v>12</v>
      </c>
      <c r="D152" s="1" t="n">
        <v>15</v>
      </c>
      <c r="E152" s="1" t="n">
        <v>24</v>
      </c>
      <c r="F152" s="1" t="n">
        <v>36</v>
      </c>
      <c r="G152" s="1" t="n">
        <v>5</v>
      </c>
      <c r="H152" s="2" t="str">
        <f aca="false">_xlfn.CONCAT(C152,":'",G152,"',")</f>
        <v>12:'5',</v>
      </c>
      <c r="I152" s="2" t="str">
        <f aca="false">_xlfn.CONCAT(E152,":'",G152,"',")</f>
        <v>24:'5',</v>
      </c>
      <c r="J152" s="2" t="str">
        <f aca="false">CONCATENATE("if(${p_weight}&gt;0,",formula!$H152,",",formula!$I152,")")</f>
        <v>if(${p_weight}&gt;0,12:'5',,24:'5',)</v>
      </c>
      <c r="K152" s="2" t="e">
        <f aca="false">GENERATEDRUGSTRING(formula!$C152,formula!$D152,formula!$G152,formula!$B$2:$B$19)</f>
        <v>#VALUE!</v>
      </c>
      <c r="L152" s="2" t="e">
        <f aca="false">CONCATENATE(formula!$K152,IF(TRIM(formula!$K152)="",""," "),IF(formula!$A152=A153,L153,""))</f>
        <v>#VALUE!</v>
      </c>
    </row>
    <row r="153" customFormat="false" ht="15.65" hidden="false" customHeight="false" outlineLevel="0" collapsed="false">
      <c r="A153" s="1" t="s">
        <v>53</v>
      </c>
      <c r="B153" s="1" t="str">
        <f aca="false">IF(formula!$A153&lt;&gt;A152,formula!$A153,"")</f>
        <v/>
      </c>
      <c r="C153" s="1" t="n">
        <v>15</v>
      </c>
      <c r="D153" s="1" t="n">
        <v>20</v>
      </c>
      <c r="E153" s="1" t="n">
        <v>36</v>
      </c>
      <c r="F153" s="1" t="n">
        <v>48</v>
      </c>
      <c r="G153" s="1" t="n">
        <v>6</v>
      </c>
      <c r="H153" s="2" t="str">
        <f aca="false">_xlfn.CONCAT(C153,":'",G153,"',")</f>
        <v>15:'6',</v>
      </c>
      <c r="I153" s="2" t="str">
        <f aca="false">_xlfn.CONCAT(E153,":'",G153,"',")</f>
        <v>36:'6',</v>
      </c>
      <c r="J153" s="2" t="str">
        <f aca="false">CONCATENATE("if(${p_weight}&gt;0,",formula!$H153,",",formula!$I153,")")</f>
        <v>if(${p_weight}&gt;0,15:'6',,36:'6',)</v>
      </c>
      <c r="K153" s="2" t="e">
        <f aca="false">GENERATEDRUGSTRING(formula!$C153,formula!$D153,formula!$G153,formula!$B$2:$B$19)</f>
        <v>#VALUE!</v>
      </c>
      <c r="L153" s="2" t="e">
        <f aca="false">CONCATENATE(formula!$K153,IF(TRIM(formula!$K153)="",""," "),IF(formula!$A153=A154,L154,""))</f>
        <v>#VALUE!</v>
      </c>
    </row>
    <row r="154" customFormat="false" ht="15.65" hidden="false" customHeight="false" outlineLevel="0" collapsed="false">
      <c r="A154" s="1" t="s">
        <v>53</v>
      </c>
      <c r="B154" s="1" t="str">
        <f aca="false">IF(formula!$A154&lt;&gt;A153,formula!$A154,"")</f>
        <v/>
      </c>
      <c r="C154" s="1" t="n">
        <v>20</v>
      </c>
      <c r="D154" s="1" t="n">
        <v>100</v>
      </c>
      <c r="E154" s="1" t="n">
        <v>48</v>
      </c>
      <c r="F154" s="1" t="n">
        <v>61</v>
      </c>
      <c r="G154" s="1" t="n">
        <v>8</v>
      </c>
      <c r="H154" s="2" t="str">
        <f aca="false">_xlfn.CONCAT(C154,":'",G154,"',")</f>
        <v>20:'8',</v>
      </c>
      <c r="I154" s="2" t="str">
        <f aca="false">_xlfn.CONCAT(E154,":'",G154,"',")</f>
        <v>48:'8',</v>
      </c>
      <c r="J154" s="2" t="str">
        <f aca="false">CONCATENATE("if(${p_weight}&gt;0,",formula!$H154,",",formula!$I154,")")</f>
        <v>if(${p_weight}&gt;0,20:'8',,48:'8',)</v>
      </c>
      <c r="K154" s="2" t="e">
        <f aca="false">GENERATEDRUGSTRING(formula!$C154,formula!$D154,formula!$G154,formula!$B$2:$B$19)</f>
        <v>#VALUE!</v>
      </c>
      <c r="L154" s="2" t="e">
        <f aca="false">CONCATENATE(formula!$K154,IF(TRIM(formula!$K154)="",""," "),IF(formula!$A154=A155,L155,""))</f>
        <v>#VALUE!</v>
      </c>
    </row>
    <row r="155" customFormat="false" ht="15.65" hidden="false" customHeight="false" outlineLevel="0" collapsed="false">
      <c r="A155" s="1" t="s">
        <v>54</v>
      </c>
      <c r="B155" s="1" t="str">
        <f aca="false">IF(formula!$A155&lt;&gt;A154,formula!$A155,"")</f>
        <v>erythromycin_ml</v>
      </c>
      <c r="C155" s="1" t="n">
        <v>0</v>
      </c>
      <c r="D155" s="1" t="n">
        <v>4</v>
      </c>
      <c r="E155" s="1" t="n">
        <v>0</v>
      </c>
      <c r="F155" s="1" t="n">
        <v>2</v>
      </c>
      <c r="G155" s="1" t="n">
        <v>0</v>
      </c>
      <c r="H155" s="2" t="str">
        <f aca="false">_xlfn.CONCAT(C155,":'",G155,"',")</f>
        <v>0:'0',</v>
      </c>
      <c r="I155" s="2" t="str">
        <f aca="false">_xlfn.CONCAT(E155,":'",G155,"',")</f>
        <v>0:'0',</v>
      </c>
      <c r="J155" s="2" t="str">
        <f aca="false">CONCATENATE("if(${p_weight}&gt;0,",formula!$H155,",",formula!$I155,")")</f>
        <v>if(${p_weight}&gt;0,0:'0',,0:'0',)</v>
      </c>
      <c r="K155" s="2" t="e">
        <f aca="false">GENERATEDRUGSTRING(formula!$C155,formula!$D155,formula!$G155,formula!$B$2:$B$19)</f>
        <v>#VALUE!</v>
      </c>
      <c r="L155" s="2" t="e">
        <f aca="false">CONCATENATE(formula!$K155,IF(TRIM(formula!$K155)="",""," "),IF(formula!$A155=A156,L156,""))</f>
        <v>#VALUE!</v>
      </c>
    </row>
    <row r="156" customFormat="false" ht="15.65" hidden="false" customHeight="false" outlineLevel="0" collapsed="false">
      <c r="A156" s="1" t="s">
        <v>54</v>
      </c>
      <c r="B156" s="1" t="str">
        <f aca="false">IF(formula!$A156&lt;&gt;A155,formula!$A156,"")</f>
        <v/>
      </c>
      <c r="C156" s="1" t="n">
        <v>4</v>
      </c>
      <c r="D156" s="1" t="n">
        <v>6</v>
      </c>
      <c r="E156" s="1" t="n">
        <v>2</v>
      </c>
      <c r="F156" s="1" t="n">
        <v>4</v>
      </c>
      <c r="G156" s="1" t="n">
        <v>1.5</v>
      </c>
      <c r="H156" s="2" t="str">
        <f aca="false">_xlfn.CONCAT(C156,":'",G156,"',")</f>
        <v>4:'1.5',</v>
      </c>
      <c r="I156" s="2" t="str">
        <f aca="false">_xlfn.CONCAT(E156,":'",G156,"',")</f>
        <v>2:'1.5',</v>
      </c>
      <c r="J156" s="2" t="str">
        <f aca="false">CONCATENATE("if(${p_weight}&gt;0,",formula!$H156,",",formula!$I156,")")</f>
        <v>if(${p_weight}&gt;0,4:'1.5',,2:'1.5',)</v>
      </c>
      <c r="K156" s="2" t="e">
        <f aca="false">GENERATEDRUGSTRING(formula!$C156,formula!$D156,formula!$G156,formula!$B$2:$B$19)</f>
        <v>#VALUE!</v>
      </c>
      <c r="L156" s="2" t="e">
        <f aca="false">CONCATENATE(formula!$K156,IF(TRIM(formula!$K156)="",""," "),IF(formula!$A156=A157,L157,""))</f>
        <v>#VALUE!</v>
      </c>
    </row>
    <row r="157" customFormat="false" ht="15.65" hidden="false" customHeight="false" outlineLevel="0" collapsed="false">
      <c r="A157" s="1" t="s">
        <v>54</v>
      </c>
      <c r="B157" s="1" t="str">
        <f aca="false">IF(formula!$A157&lt;&gt;A156,formula!$A157,"")</f>
        <v/>
      </c>
      <c r="C157" s="1" t="n">
        <v>6</v>
      </c>
      <c r="D157" s="1" t="n">
        <v>10</v>
      </c>
      <c r="E157" s="1" t="n">
        <v>4</v>
      </c>
      <c r="F157" s="1" t="n">
        <v>12</v>
      </c>
      <c r="G157" s="1" t="n">
        <v>3</v>
      </c>
      <c r="H157" s="2" t="str">
        <f aca="false">_xlfn.CONCAT(C157,":'",G157,"',")</f>
        <v>6:'3',</v>
      </c>
      <c r="I157" s="2" t="str">
        <f aca="false">_xlfn.CONCAT(E157,":'",G157,"',")</f>
        <v>4:'3',</v>
      </c>
      <c r="J157" s="2" t="str">
        <f aca="false">CONCATENATE("if(${p_weight}&gt;0,",formula!$H157,",",formula!$I157,")")</f>
        <v>if(${p_weight}&gt;0,6:'3',,4:'3',)</v>
      </c>
      <c r="K157" s="2" t="e">
        <f aca="false">GENERATEDRUGSTRING(formula!$C157,formula!$D157,formula!$G157,formula!$B$2:$B$19)</f>
        <v>#VALUE!</v>
      </c>
      <c r="L157" s="2" t="e">
        <f aca="false">CONCATENATE(formula!$K157,IF(TRIM(formula!$K157)="",""," "),IF(formula!$A157=A158,L158,""))</f>
        <v>#VALUE!</v>
      </c>
    </row>
    <row r="158" customFormat="false" ht="15.65" hidden="false" customHeight="false" outlineLevel="0" collapsed="false">
      <c r="A158" s="1" t="s">
        <v>54</v>
      </c>
      <c r="B158" s="1" t="str">
        <f aca="false">IF(formula!$A158&lt;&gt;A157,formula!$A158,"")</f>
        <v/>
      </c>
      <c r="C158" s="1" t="n">
        <v>10</v>
      </c>
      <c r="D158" s="1" t="n">
        <v>15</v>
      </c>
      <c r="E158" s="1" t="n">
        <v>12</v>
      </c>
      <c r="F158" s="1" t="n">
        <v>36</v>
      </c>
      <c r="G158" s="1" t="n">
        <v>4</v>
      </c>
      <c r="H158" s="2" t="str">
        <f aca="false">_xlfn.CONCAT(C158,":'",G158,"',")</f>
        <v>10:'4',</v>
      </c>
      <c r="I158" s="2" t="str">
        <f aca="false">_xlfn.CONCAT(E158,":'",G158,"',")</f>
        <v>12:'4',</v>
      </c>
      <c r="J158" s="2" t="str">
        <f aca="false">CONCATENATE("if(${p_weight}&gt;0,",formula!$H158,",",formula!$I158,")")</f>
        <v>if(${p_weight}&gt;0,10:'4',,12:'4',)</v>
      </c>
      <c r="K158" s="2" t="e">
        <f aca="false">GENERATEDRUGSTRING(formula!$C158,formula!$D158,formula!$G158,formula!$B$2:$B$19)</f>
        <v>#VALUE!</v>
      </c>
      <c r="L158" s="2" t="e">
        <f aca="false">CONCATENATE(formula!$K158,IF(TRIM(formula!$K158)="",""," "),IF(formula!$A158=A159,L159,""))</f>
        <v>#VALUE!</v>
      </c>
    </row>
    <row r="159" customFormat="false" ht="15.65" hidden="false" customHeight="false" outlineLevel="0" collapsed="false">
      <c r="A159" s="1" t="s">
        <v>54</v>
      </c>
      <c r="B159" s="1" t="str">
        <f aca="false">IF(formula!$A159&lt;&gt;A158,formula!$A159,"")</f>
        <v/>
      </c>
      <c r="C159" s="1" t="n">
        <v>15</v>
      </c>
      <c r="D159" s="1" t="n">
        <v>100</v>
      </c>
      <c r="E159" s="1" t="n">
        <v>36</v>
      </c>
      <c r="F159" s="1" t="n">
        <v>60</v>
      </c>
      <c r="G159" s="1" t="n">
        <v>5</v>
      </c>
      <c r="H159" s="2" t="str">
        <f aca="false">_xlfn.CONCAT(C159,":'",G159,"',")</f>
        <v>15:'5',</v>
      </c>
      <c r="I159" s="2" t="str">
        <f aca="false">_xlfn.CONCAT(E159,":'",G159,"',")</f>
        <v>36:'5',</v>
      </c>
      <c r="J159" s="2" t="str">
        <f aca="false">CONCATENATE("if(${p_weight}&gt;0,",formula!$H159,",",formula!$I159,")")</f>
        <v>if(${p_weight}&gt;0,15:'5',,36:'5',)</v>
      </c>
      <c r="K159" s="2" t="e">
        <f aca="false">GENERATEDRUGSTRING(formula!$C159,formula!$D159,formula!$G159,formula!$B$2:$B$19)</f>
        <v>#VALUE!</v>
      </c>
      <c r="L159" s="2" t="e">
        <f aca="false">CONCATENATE(formula!$K159,IF(TRIM(formula!$K159)="",""," "),IF(formula!$A159=A160,L160,""))</f>
        <v>#VALUE!</v>
      </c>
    </row>
    <row r="160" customFormat="false" ht="15.65" hidden="false" customHeight="false" outlineLevel="0" collapsed="false">
      <c r="A160" s="1" t="s">
        <v>55</v>
      </c>
      <c r="B160" s="1" t="str">
        <f aca="false">IF(formula!$A160&lt;&gt;A159,formula!$A160,"")</f>
        <v>erythromycin_tab</v>
      </c>
      <c r="C160" s="1" t="n">
        <v>0</v>
      </c>
      <c r="D160" s="1" t="n">
        <v>4</v>
      </c>
      <c r="E160" s="1" t="n">
        <v>0</v>
      </c>
      <c r="F160" s="1" t="n">
        <v>2</v>
      </c>
      <c r="G160" s="1" t="s">
        <v>56</v>
      </c>
      <c r="H160" s="2" t="str">
        <f aca="false">_xlfn.CONCAT(C160,":'",G160,"',")</f>
        <v>0:'--',</v>
      </c>
      <c r="I160" s="2" t="str">
        <f aca="false">_xlfn.CONCAT(E160,":'",G160,"',")</f>
        <v>0:'--',</v>
      </c>
      <c r="J160" s="2" t="str">
        <f aca="false">CONCATENATE("if(${p_weight}&gt;0,",formula!$H160,",",formula!$I160,")")</f>
        <v>if(${p_weight}&gt;0,0:'--',,0:'--',)</v>
      </c>
      <c r="K160" s="2" t="e">
        <f aca="false">GENERATEDRUGSTRING(formula!$C160,formula!$D160,formula!$G160,formula!$B$2:$B$19)</f>
        <v>#VALUE!</v>
      </c>
      <c r="L160" s="2" t="e">
        <f aca="false">CONCATENATE(formula!$K160,IF(TRIM(formula!$K160)="",""," "),IF(formula!$A160=A161,L161,""))</f>
        <v>#VALUE!</v>
      </c>
    </row>
    <row r="161" customFormat="false" ht="15.65" hidden="false" customHeight="false" outlineLevel="0" collapsed="false">
      <c r="A161" s="1" t="s">
        <v>55</v>
      </c>
      <c r="B161" s="1" t="str">
        <f aca="false">IF(formula!$A161&lt;&gt;A160,formula!$A161,"")</f>
        <v/>
      </c>
      <c r="C161" s="1" t="n">
        <v>4</v>
      </c>
      <c r="D161" s="1" t="n">
        <v>6</v>
      </c>
      <c r="E161" s="1" t="n">
        <v>2</v>
      </c>
      <c r="F161" s="1" t="n">
        <v>4</v>
      </c>
      <c r="G161" s="1" t="s">
        <v>23</v>
      </c>
      <c r="H161" s="2" t="str">
        <f aca="false">_xlfn.CONCAT(C161,":'",G161,"',")</f>
        <v>4:'1/4',</v>
      </c>
      <c r="I161" s="2" t="str">
        <f aca="false">_xlfn.CONCAT(E161,":'",G161,"',")</f>
        <v>2:'1/4',</v>
      </c>
      <c r="J161" s="2" t="str">
        <f aca="false">CONCATENATE("if(${p_weight}&gt;0,",formula!$H161,",",formula!$I161,")")</f>
        <v>if(${p_weight}&gt;0,4:'1/4',,2:'1/4',)</v>
      </c>
      <c r="K161" s="2" t="e">
        <f aca="false">GENERATEDRUGSTRING(formula!$C161,formula!$D161,formula!$G161,formula!$B$2:$B$19)</f>
        <v>#VALUE!</v>
      </c>
      <c r="L161" s="2" t="e">
        <f aca="false">CONCATENATE(formula!$K161,IF(TRIM(formula!$K161)="",""," "),IF(formula!$A161=A162,L162,""))</f>
        <v>#VALUE!</v>
      </c>
    </row>
    <row r="162" customFormat="false" ht="15.65" hidden="false" customHeight="false" outlineLevel="0" collapsed="false">
      <c r="A162" s="1" t="s">
        <v>55</v>
      </c>
      <c r="B162" s="1" t="str">
        <f aca="false">IF(formula!$A162&lt;&gt;A161,formula!$A162,"")</f>
        <v/>
      </c>
      <c r="C162" s="1" t="n">
        <v>6</v>
      </c>
      <c r="D162" s="1" t="n">
        <v>10</v>
      </c>
      <c r="E162" s="1" t="n">
        <v>4</v>
      </c>
      <c r="F162" s="1" t="n">
        <v>12</v>
      </c>
      <c r="G162" s="1" t="s">
        <v>24</v>
      </c>
      <c r="H162" s="2" t="str">
        <f aca="false">_xlfn.CONCAT(C162,":'",G162,"',")</f>
        <v>6:'1/2',</v>
      </c>
      <c r="I162" s="2" t="str">
        <f aca="false">_xlfn.CONCAT(E162,":'",G162,"',")</f>
        <v>4:'1/2',</v>
      </c>
      <c r="J162" s="2" t="str">
        <f aca="false">CONCATENATE("if(${p_weight}&gt;0,",formula!$H162,",",formula!$I162,")")</f>
        <v>if(${p_weight}&gt;0,6:'1/2',,4:'1/2',)</v>
      </c>
      <c r="K162" s="2" t="e">
        <f aca="false">GENERATEDRUGSTRING(formula!$C162,formula!$D162,formula!$G162,formula!$B$2:$B$19)</f>
        <v>#VALUE!</v>
      </c>
      <c r="L162" s="2" t="e">
        <f aca="false">CONCATENATE(formula!$K162,IF(TRIM(formula!$K162)="",""," "),IF(formula!$A162=A163,L163,""))</f>
        <v>#VALUE!</v>
      </c>
    </row>
    <row r="163" customFormat="false" ht="15.65" hidden="false" customHeight="false" outlineLevel="0" collapsed="false">
      <c r="A163" s="1" t="s">
        <v>55</v>
      </c>
      <c r="B163" s="1" t="str">
        <f aca="false">IF(formula!$A163&lt;&gt;A162,formula!$A163,"")</f>
        <v/>
      </c>
      <c r="C163" s="1" t="n">
        <v>10</v>
      </c>
      <c r="D163" s="1" t="n">
        <v>15</v>
      </c>
      <c r="E163" s="1" t="n">
        <v>12</v>
      </c>
      <c r="F163" s="1" t="n">
        <v>36</v>
      </c>
      <c r="G163" s="1" t="n">
        <v>1</v>
      </c>
      <c r="H163" s="2" t="str">
        <f aca="false">_xlfn.CONCAT(C163,":'",G163,"',")</f>
        <v>10:'1',</v>
      </c>
      <c r="I163" s="2" t="str">
        <f aca="false">_xlfn.CONCAT(E163,":'",G163,"',")</f>
        <v>12:'1',</v>
      </c>
      <c r="J163" s="2" t="str">
        <f aca="false">CONCATENATE("if(${p_weight}&gt;0,",formula!$H163,",",formula!$I163,")")</f>
        <v>if(${p_weight}&gt;0,10:'1',,12:'1',)</v>
      </c>
      <c r="K163" s="2" t="e">
        <f aca="false">GENERATEDRUGSTRING(formula!$C163,formula!$D163,formula!$G163,formula!$B$2:$B$19)</f>
        <v>#VALUE!</v>
      </c>
      <c r="L163" s="2" t="e">
        <f aca="false">CONCATENATE(formula!$K163,IF(TRIM(formula!$K163)="",""," "),IF(formula!$A163=A164,L164,""))</f>
        <v>#VALUE!</v>
      </c>
    </row>
    <row r="164" customFormat="false" ht="15.65" hidden="false" customHeight="false" outlineLevel="0" collapsed="false">
      <c r="A164" s="1" t="s">
        <v>55</v>
      </c>
      <c r="B164" s="1" t="str">
        <f aca="false">IF(formula!$A164&lt;&gt;A163,formula!$A164,"")</f>
        <v/>
      </c>
      <c r="C164" s="1" t="n">
        <v>15</v>
      </c>
      <c r="D164" s="1" t="n">
        <v>100</v>
      </c>
      <c r="E164" s="1" t="n">
        <v>36</v>
      </c>
      <c r="F164" s="1" t="n">
        <v>60</v>
      </c>
      <c r="G164" s="1" t="n">
        <v>1</v>
      </c>
      <c r="H164" s="2" t="str">
        <f aca="false">_xlfn.CONCAT(C164,":'",G164,"',")</f>
        <v>15:'1',</v>
      </c>
      <c r="I164" s="2" t="str">
        <f aca="false">_xlfn.CONCAT(E164,":'",G164,"',")</f>
        <v>36:'1',</v>
      </c>
      <c r="J164" s="2" t="str">
        <f aca="false">CONCATENATE("if(${p_weight}&gt;0,",formula!$H164,",",formula!$I164,")")</f>
        <v>if(${p_weight}&gt;0,15:'1',,36:'1',)</v>
      </c>
      <c r="K164" s="2" t="e">
        <f aca="false">GENERATEDRUGSTRING(formula!$C164,formula!$D164,formula!$G164,formula!$B$2:$B$19)</f>
        <v>#VALUE!</v>
      </c>
      <c r="L164" s="2" t="e">
        <f aca="false">CONCATENATE(formula!$K164,IF(TRIM(formula!$K164)="",""," "),IF(formula!$A164=A165,L165,""))</f>
        <v>#VALUE!</v>
      </c>
    </row>
    <row r="165" customFormat="false" ht="15.65" hidden="false" customHeight="false" outlineLevel="0" collapsed="false">
      <c r="A165" s="1" t="s">
        <v>57</v>
      </c>
      <c r="B165" s="1" t="str">
        <f aca="false">IF(formula!$A165&lt;&gt;A164,formula!$A165,"")</f>
        <v>ciprofloxacin_tab</v>
      </c>
      <c r="C165" s="1" t="n">
        <v>0</v>
      </c>
      <c r="D165" s="1" t="n">
        <v>4</v>
      </c>
      <c r="E165" s="1" t="n">
        <v>0</v>
      </c>
      <c r="F165" s="1" t="n">
        <v>2</v>
      </c>
      <c r="G165" s="1" t="s">
        <v>56</v>
      </c>
      <c r="H165" s="2" t="str">
        <f aca="false">_xlfn.CONCAT(C165,":'",G165,"',")</f>
        <v>0:'--',</v>
      </c>
      <c r="I165" s="2" t="str">
        <f aca="false">_xlfn.CONCAT(E165,":'",G165,"',")</f>
        <v>0:'--',</v>
      </c>
      <c r="J165" s="2" t="str">
        <f aca="false">CONCATENATE("if(${p_weight}&gt;0,",formula!$H165,",",formula!$I165,")")</f>
        <v>if(${p_weight}&gt;0,0:'--',,0:'--',)</v>
      </c>
      <c r="K165" s="2" t="e">
        <f aca="false">GENERATEDRUGSTRING(formula!$C165,formula!$D165,formula!$G165,formula!$B$2:$B$19)</f>
        <v>#VALUE!</v>
      </c>
      <c r="L165" s="2" t="e">
        <f aca="false">CONCATENATE(formula!$K165,IF(TRIM(formula!$K165)="",""," "),IF(formula!$A165=A166,L166,""))</f>
        <v>#VALUE!</v>
      </c>
    </row>
    <row r="166" customFormat="false" ht="15.65" hidden="false" customHeight="false" outlineLevel="0" collapsed="false">
      <c r="A166" s="1" t="s">
        <v>57</v>
      </c>
      <c r="B166" s="1" t="str">
        <f aca="false">IF(formula!$A166&lt;&gt;A165,formula!$A166,"")</f>
        <v/>
      </c>
      <c r="C166" s="1" t="n">
        <v>4</v>
      </c>
      <c r="D166" s="1" t="n">
        <v>6</v>
      </c>
      <c r="E166" s="1" t="n">
        <v>2</v>
      </c>
      <c r="F166" s="1" t="n">
        <v>4</v>
      </c>
      <c r="G166" s="1" t="s">
        <v>23</v>
      </c>
      <c r="H166" s="2" t="str">
        <f aca="false">_xlfn.CONCAT(C166,":'",G166,"',")</f>
        <v>4:'1/4',</v>
      </c>
      <c r="I166" s="2" t="str">
        <f aca="false">_xlfn.CONCAT(E166,":'",G166,"',")</f>
        <v>2:'1/4',</v>
      </c>
      <c r="J166" s="2" t="str">
        <f aca="false">CONCATENATE("if(${p_weight}&gt;0,",formula!$H166,",",formula!$I166,")")</f>
        <v>if(${p_weight}&gt;0,4:'1/4',,2:'1/4',)</v>
      </c>
      <c r="K166" s="2" t="e">
        <f aca="false">GENERATEDRUGSTRING(formula!$C166,formula!$D166,formula!$G166,formula!$B$2:$B$19)</f>
        <v>#VALUE!</v>
      </c>
      <c r="L166" s="2" t="e">
        <f aca="false">CONCATENATE(formula!$K166,IF(TRIM(formula!$K166)="",""," "),IF(formula!$A166=A167,L167,""))</f>
        <v>#VALUE!</v>
      </c>
    </row>
    <row r="167" customFormat="false" ht="15.65" hidden="false" customHeight="false" outlineLevel="0" collapsed="false">
      <c r="A167" s="1" t="s">
        <v>57</v>
      </c>
      <c r="B167" s="1" t="str">
        <f aca="false">IF(formula!$A167&lt;&gt;A166,formula!$A167,"")</f>
        <v/>
      </c>
      <c r="C167" s="1" t="n">
        <v>6</v>
      </c>
      <c r="D167" s="1" t="n">
        <v>15</v>
      </c>
      <c r="E167" s="1" t="n">
        <v>4</v>
      </c>
      <c r="F167" s="1" t="n">
        <v>36</v>
      </c>
      <c r="G167" s="1" t="s">
        <v>24</v>
      </c>
      <c r="H167" s="2" t="str">
        <f aca="false">_xlfn.CONCAT(C167,":'",G167,"',")</f>
        <v>6:'1/2',</v>
      </c>
      <c r="I167" s="2" t="str">
        <f aca="false">_xlfn.CONCAT(E167,":'",G167,"',")</f>
        <v>4:'1/2',</v>
      </c>
      <c r="J167" s="2" t="str">
        <f aca="false">CONCATENATE("if(${p_weight}&gt;0,",formula!$H167,",",formula!$I167,")")</f>
        <v>if(${p_weight}&gt;0,6:'1/2',,4:'1/2',)</v>
      </c>
      <c r="K167" s="2" t="e">
        <f aca="false">GENERATEDRUGSTRING(formula!$C167,formula!$D167,formula!$G167,formula!$B$2:$B$19)</f>
        <v>#VALUE!</v>
      </c>
      <c r="L167" s="2" t="e">
        <f aca="false">CONCATENATE(formula!$K167,IF(TRIM(formula!$K167)="",""," "),IF(formula!$A167=A168,L168,""))</f>
        <v>#VALUE!</v>
      </c>
    </row>
    <row r="168" customFormat="false" ht="15.65" hidden="false" customHeight="false" outlineLevel="0" collapsed="false">
      <c r="A168" s="1" t="s">
        <v>57</v>
      </c>
      <c r="B168" s="1" t="str">
        <f aca="false">IF(formula!$A168&lt;&gt;A167,formula!$A168,"")</f>
        <v/>
      </c>
      <c r="C168" s="1" t="n">
        <v>15</v>
      </c>
      <c r="D168" s="1" t="n">
        <v>100</v>
      </c>
      <c r="E168" s="1" t="n">
        <v>36</v>
      </c>
      <c r="F168" s="1" t="n">
        <v>61</v>
      </c>
      <c r="G168" s="1" t="n">
        <v>1</v>
      </c>
      <c r="H168" s="2" t="str">
        <f aca="false">_xlfn.CONCAT(C168,":'",G168,"',")</f>
        <v>15:'1',</v>
      </c>
      <c r="I168" s="2" t="str">
        <f aca="false">_xlfn.CONCAT(E168,":'",G168,"',")</f>
        <v>36:'1',</v>
      </c>
      <c r="J168" s="2" t="str">
        <f aca="false">CONCATENATE("if(${p_weight}&gt;0,",formula!$H168,",",formula!$I168,")")</f>
        <v>if(${p_weight}&gt;0,15:'1',,36:'1',)</v>
      </c>
      <c r="K168" s="2" t="e">
        <f aca="false">GENERATEDRUGSTRING(formula!$C168,formula!$D168,formula!$G168,formula!$B$2:$B$19)</f>
        <v>#VALUE!</v>
      </c>
      <c r="L168" s="2" t="e">
        <f aca="false">CONCATENATE(formula!$K168,IF(TRIM(formula!$K168)="",""," "),IF(formula!$A168=A169,L169,""))</f>
        <v>#VALUE!</v>
      </c>
    </row>
    <row r="169" customFormat="false" ht="15.65" hidden="false" customHeight="false" outlineLevel="0" collapsed="false">
      <c r="A169" s="1" t="s">
        <v>58</v>
      </c>
      <c r="B169" s="1" t="str">
        <f aca="false">IF(formula!$A169&lt;&gt;A168,formula!$A169,"")</f>
        <v>penicillin_ml</v>
      </c>
      <c r="C169" s="1" t="n">
        <v>0</v>
      </c>
      <c r="D169" s="1" t="n">
        <v>10</v>
      </c>
      <c r="E169" s="1" t="n">
        <v>2</v>
      </c>
      <c r="F169" s="1" t="n">
        <v>12</v>
      </c>
      <c r="G169" s="1" t="n">
        <v>1.25</v>
      </c>
      <c r="H169" s="2" t="str">
        <f aca="false">_xlfn.CONCAT(C169,":'",G169,"',")</f>
        <v>0:'1.25',</v>
      </c>
      <c r="I169" s="2" t="str">
        <f aca="false">_xlfn.CONCAT(E169,":'",G169,"',")</f>
        <v>2:'1.25',</v>
      </c>
      <c r="J169" s="2" t="str">
        <f aca="false">CONCATENATE("if(${p_weight}&gt;0,",formula!$H169,",",formula!$I169,")")</f>
        <v>if(${p_weight}&gt;0,0:'1.25',,2:'1.25',)</v>
      </c>
      <c r="K169" s="2" t="e">
        <f aca="false">GENERATEDRUGSTRING(formula!$C169,formula!$D169,formula!$G169,formula!$B$2:$B$19)</f>
        <v>#VALUE!</v>
      </c>
      <c r="L169" s="2" t="e">
        <f aca="false">CONCATENATE(formula!$K169,IF(TRIM(formula!$K169)="",""," "),IF(formula!$A169=A170,L170,""))</f>
        <v>#VALUE!</v>
      </c>
    </row>
    <row r="170" customFormat="false" ht="15.65" hidden="false" customHeight="false" outlineLevel="0" collapsed="false">
      <c r="A170" s="1" t="s">
        <v>58</v>
      </c>
      <c r="B170" s="1" t="str">
        <f aca="false">IF(formula!$A170&lt;&gt;A169,formula!$A170,"")</f>
        <v/>
      </c>
      <c r="C170" s="1" t="n">
        <v>10</v>
      </c>
      <c r="D170" s="1" t="n">
        <v>100</v>
      </c>
      <c r="E170" s="1" t="n">
        <v>12</v>
      </c>
      <c r="F170" s="1" t="n">
        <v>61</v>
      </c>
      <c r="G170" s="1" t="n">
        <v>2.5</v>
      </c>
      <c r="H170" s="2" t="str">
        <f aca="false">_xlfn.CONCAT(C170,":'",G170,"',")</f>
        <v>10:'2.5',</v>
      </c>
      <c r="I170" s="2" t="str">
        <f aca="false">_xlfn.CONCAT(E170,":'",G170,"',")</f>
        <v>12:'2.5',</v>
      </c>
      <c r="J170" s="2" t="str">
        <f aca="false">CONCATENATE("if(${p_weight}&gt;0,",formula!$H170,",",formula!$I170,")")</f>
        <v>if(${p_weight}&gt;0,10:'2.5',,12:'2.5',)</v>
      </c>
      <c r="K170" s="2" t="e">
        <f aca="false">GENERATEDRUGSTRING(formula!$C170,formula!$D170,formula!$G170,formula!$B$2:$B$19)</f>
        <v>#VALUE!</v>
      </c>
      <c r="L170" s="2" t="e">
        <f aca="false">CONCATENATE(formula!$K170,IF(TRIM(formula!$K170)="",""," "),IF(formula!$A170=A171,L171,""))</f>
        <v>#VALUE!</v>
      </c>
    </row>
    <row r="171" customFormat="false" ht="15.65" hidden="false" customHeight="false" outlineLevel="0" collapsed="false">
      <c r="A171" s="1" t="s">
        <v>59</v>
      </c>
      <c r="B171" s="1" t="str">
        <f aca="false">IF(formula!$A171&lt;&gt;A170,formula!$A171,"")</f>
        <v>penicillin_tab</v>
      </c>
      <c r="C171" s="1" t="n">
        <v>0</v>
      </c>
      <c r="D171" s="1" t="n">
        <v>10</v>
      </c>
      <c r="E171" s="1" t="n">
        <v>2</v>
      </c>
      <c r="F171" s="1" t="n">
        <v>12</v>
      </c>
      <c r="G171" s="1" t="s">
        <v>23</v>
      </c>
      <c r="H171" s="2" t="str">
        <f aca="false">_xlfn.CONCAT(C171,":'",G171,"',")</f>
        <v>0:'1/4',</v>
      </c>
      <c r="I171" s="2" t="str">
        <f aca="false">_xlfn.CONCAT(E171,":'",G171,"',")</f>
        <v>2:'1/4',</v>
      </c>
      <c r="J171" s="2" t="str">
        <f aca="false">CONCATENATE("if(${p_weight}&gt;0,",formula!$H171,",",formula!$I171,")")</f>
        <v>if(${p_weight}&gt;0,0:'1/4',,2:'1/4',)</v>
      </c>
      <c r="K171" s="2" t="e">
        <f aca="false">GENERATEDRUGSTRING(formula!$C171,formula!$D171,formula!$G171,formula!$B$2:$B$19)</f>
        <v>#VALUE!</v>
      </c>
      <c r="L171" s="2" t="e">
        <f aca="false">CONCATENATE(formula!$K171,IF(TRIM(formula!$K171)="",""," "),IF(formula!$A171=A172,L172,""))</f>
        <v>#VALUE!</v>
      </c>
    </row>
    <row r="172" customFormat="false" ht="15.65" hidden="false" customHeight="false" outlineLevel="0" collapsed="false">
      <c r="A172" s="1" t="s">
        <v>59</v>
      </c>
      <c r="B172" s="1" t="str">
        <f aca="false">IF(formula!$A172&lt;&gt;A171,formula!$A172,"")</f>
        <v/>
      </c>
      <c r="C172" s="1" t="n">
        <v>10</v>
      </c>
      <c r="D172" s="1" t="n">
        <v>100</v>
      </c>
      <c r="E172" s="1" t="n">
        <v>12</v>
      </c>
      <c r="F172" s="1" t="n">
        <v>61</v>
      </c>
      <c r="G172" s="1" t="s">
        <v>24</v>
      </c>
      <c r="H172" s="2" t="str">
        <f aca="false">_xlfn.CONCAT(C172,":'",G172,"',")</f>
        <v>10:'1/2',</v>
      </c>
      <c r="I172" s="2" t="str">
        <f aca="false">_xlfn.CONCAT(E172,":'",G172,"',")</f>
        <v>12:'1/2',</v>
      </c>
      <c r="J172" s="2" t="str">
        <f aca="false">CONCATENATE("if(${p_weight}&gt;0,",formula!$H172,",",formula!$I172,")")</f>
        <v>if(${p_weight}&gt;0,10:'1/2',,12:'1/2',)</v>
      </c>
      <c r="K172" s="2" t="e">
        <f aca="false">GENERATEDRUGSTRING(formula!$C172,formula!$D172,formula!$G172,formula!$B$2:$B$19)</f>
        <v>#VALUE!</v>
      </c>
      <c r="L172" s="2" t="e">
        <f aca="false">CONCATENATE(formula!$K172,IF(TRIM(formula!$K172)="",""," "),IF(formula!$A172=A173,L173,""))</f>
        <v>#VALUE!</v>
      </c>
    </row>
    <row r="173" customFormat="false" ht="15.65" hidden="false" customHeight="false" outlineLevel="0" collapsed="false">
      <c r="A173" s="1" t="s">
        <v>60</v>
      </c>
      <c r="B173" s="1" t="str">
        <f aca="false">IF(formula!$A173&lt;&gt;A172,formula!$A173,"")</f>
        <v>cotrimoxazole_ml</v>
      </c>
      <c r="C173" s="1" t="n">
        <v>0</v>
      </c>
      <c r="D173" s="1" t="n">
        <v>4</v>
      </c>
      <c r="E173" s="1" t="n">
        <v>0</v>
      </c>
      <c r="F173" s="1" t="n">
        <v>2</v>
      </c>
      <c r="G173" s="1" t="n">
        <v>0</v>
      </c>
      <c r="H173" s="2" t="str">
        <f aca="false">_xlfn.CONCAT(C173,":'",G173,"',")</f>
        <v>0:'0',</v>
      </c>
      <c r="I173" s="2" t="str">
        <f aca="false">_xlfn.CONCAT(E173,":'",G173,"',")</f>
        <v>0:'0',</v>
      </c>
      <c r="J173" s="2" t="str">
        <f aca="false">CONCATENATE("if(${p_weight}&gt;0,",formula!$H173,",",formula!$I173,")")</f>
        <v>if(${p_weight}&gt;0,0:'0',,0:'0',)</v>
      </c>
      <c r="K173" s="2" t="e">
        <f aca="false">GENERATEDRUGSTRING(formula!$C173,formula!$D173,formula!$G173,formula!$B$2:$B$19)</f>
        <v>#VALUE!</v>
      </c>
      <c r="L173" s="2" t="e">
        <f aca="false">CONCATENATE(formula!$K173,IF(TRIM(formula!$K173)="",""," "),IF(formula!$A173=A174,L174,""))</f>
        <v>#VALUE!</v>
      </c>
    </row>
    <row r="174" customFormat="false" ht="15.65" hidden="false" customHeight="false" outlineLevel="0" collapsed="false">
      <c r="A174" s="1" t="s">
        <v>60</v>
      </c>
      <c r="B174" s="1" t="str">
        <f aca="false">IF(formula!$A174&lt;&gt;A173,formula!$A174,"")</f>
        <v/>
      </c>
      <c r="C174" s="1" t="n">
        <v>4</v>
      </c>
      <c r="D174" s="1" t="n">
        <v>6</v>
      </c>
      <c r="E174" s="1" t="n">
        <v>2</v>
      </c>
      <c r="F174" s="1" t="n">
        <v>4</v>
      </c>
      <c r="G174" s="1" t="n">
        <v>2</v>
      </c>
      <c r="H174" s="2" t="str">
        <f aca="false">_xlfn.CONCAT(C174,":'",G174,"',")</f>
        <v>4:'2',</v>
      </c>
      <c r="I174" s="2" t="str">
        <f aca="false">_xlfn.CONCAT(E174,":'",G174,"',")</f>
        <v>2:'2',</v>
      </c>
      <c r="J174" s="2" t="str">
        <f aca="false">CONCATENATE("if(${p_weight}&gt;0,",formula!$H174,",",formula!$I174,")")</f>
        <v>if(${p_weight}&gt;0,4:'2',,2:'2',)</v>
      </c>
      <c r="K174" s="2" t="e">
        <f aca="false">GENERATEDRUGSTRING(formula!$C174,formula!$D174,formula!$G174,formula!$B$2:$B$19)</f>
        <v>#VALUE!</v>
      </c>
      <c r="L174" s="2" t="e">
        <f aca="false">CONCATENATE(formula!$K174,IF(TRIM(formula!$K174)="",""," "),IF(formula!$A174=A175,L175,""))</f>
        <v>#VALUE!</v>
      </c>
    </row>
    <row r="175" customFormat="false" ht="15.65" hidden="false" customHeight="false" outlineLevel="0" collapsed="false">
      <c r="A175" s="1" t="s">
        <v>60</v>
      </c>
      <c r="B175" s="1" t="str">
        <f aca="false">IF(formula!$A175&lt;&gt;A174,formula!$A175,"")</f>
        <v/>
      </c>
      <c r="C175" s="1" t="n">
        <v>6</v>
      </c>
      <c r="D175" s="1" t="n">
        <v>10</v>
      </c>
      <c r="E175" s="1" t="n">
        <v>4</v>
      </c>
      <c r="F175" s="1" t="n">
        <v>12</v>
      </c>
      <c r="G175" s="1" t="n">
        <v>3.5</v>
      </c>
      <c r="H175" s="2" t="str">
        <f aca="false">_xlfn.CONCAT(C175,":'",G175,"',")</f>
        <v>6:'3.5',</v>
      </c>
      <c r="I175" s="2" t="str">
        <f aca="false">_xlfn.CONCAT(E175,":'",G175,"',")</f>
        <v>4:'3.5',</v>
      </c>
      <c r="J175" s="2" t="str">
        <f aca="false">CONCATENATE("if(${p_weight}&gt;0,",formula!$H175,",",formula!$I175,")")</f>
        <v>if(${p_weight}&gt;0,6:'3.5',,4:'3.5',)</v>
      </c>
      <c r="K175" s="2" t="e">
        <f aca="false">GENERATEDRUGSTRING(formula!$C175,formula!$D175,formula!$G175,formula!$B$2:$B$19)</f>
        <v>#VALUE!</v>
      </c>
      <c r="L175" s="2" t="e">
        <f aca="false">CONCATENATE(formula!$K175,IF(TRIM(formula!$K175)="",""," "),IF(formula!$A175=A176,L176,""))</f>
        <v>#VALUE!</v>
      </c>
    </row>
    <row r="176" customFormat="false" ht="15.65" hidden="false" customHeight="false" outlineLevel="0" collapsed="false">
      <c r="A176" s="1" t="s">
        <v>60</v>
      </c>
      <c r="B176" s="1" t="str">
        <f aca="false">IF(formula!$A176&lt;&gt;A175,formula!$A176,"")</f>
        <v/>
      </c>
      <c r="C176" s="1" t="n">
        <v>10</v>
      </c>
      <c r="D176" s="1" t="n">
        <v>15</v>
      </c>
      <c r="E176" s="1" t="n">
        <v>12</v>
      </c>
      <c r="F176" s="1" t="n">
        <v>36</v>
      </c>
      <c r="G176" s="1" t="n">
        <v>6</v>
      </c>
      <c r="H176" s="2" t="str">
        <f aca="false">_xlfn.CONCAT(C176,":'",G176,"',")</f>
        <v>10:'6',</v>
      </c>
      <c r="I176" s="2" t="str">
        <f aca="false">_xlfn.CONCAT(E176,":'",G176,"',")</f>
        <v>12:'6',</v>
      </c>
      <c r="J176" s="2" t="str">
        <f aca="false">CONCATENATE("if(${p_weight}&gt;0,",formula!$H176,",",formula!$I176,")")</f>
        <v>if(${p_weight}&gt;0,10:'6',,12:'6',)</v>
      </c>
      <c r="K176" s="2" t="e">
        <f aca="false">GENERATEDRUGSTRING(formula!$C176,formula!$D176,formula!$G176,formula!$B$2:$B$19)</f>
        <v>#VALUE!</v>
      </c>
      <c r="L176" s="2" t="e">
        <f aca="false">CONCATENATE(formula!$K176,IF(TRIM(formula!$K176)="",""," "),IF(formula!$A176=A177,L177,""))</f>
        <v>#VALUE!</v>
      </c>
    </row>
    <row r="177" customFormat="false" ht="15.65" hidden="false" customHeight="false" outlineLevel="0" collapsed="false">
      <c r="A177" s="1" t="s">
        <v>60</v>
      </c>
      <c r="B177" s="1" t="str">
        <f aca="false">IF(formula!$A177&lt;&gt;A176,formula!$A177,"")</f>
        <v/>
      </c>
      <c r="C177" s="1" t="n">
        <v>15</v>
      </c>
      <c r="D177" s="1" t="n">
        <v>100</v>
      </c>
      <c r="E177" s="1" t="n">
        <v>36</v>
      </c>
      <c r="F177" s="1" t="n">
        <v>61</v>
      </c>
      <c r="G177" s="1" t="n">
        <v>8.5</v>
      </c>
      <c r="H177" s="2" t="str">
        <f aca="false">_xlfn.CONCAT(C177,":'",G177,"',")</f>
        <v>15:'8.5',</v>
      </c>
      <c r="I177" s="2" t="str">
        <f aca="false">_xlfn.CONCAT(E177,":'",G177,"',")</f>
        <v>36:'8.5',</v>
      </c>
      <c r="J177" s="2" t="str">
        <f aca="false">CONCATENATE("if(${p_weight}&gt;0,",formula!$H177,",",formula!$I177,")")</f>
        <v>if(${p_weight}&gt;0,15:'8.5',,36:'8.5',)</v>
      </c>
      <c r="K177" s="2" t="e">
        <f aca="false">GENERATEDRUGSTRING(formula!$C177,formula!$D177,formula!$G177,formula!$B$2:$B$19)</f>
        <v>#VALUE!</v>
      </c>
      <c r="L177" s="2" t="e">
        <f aca="false">CONCATENATE(formula!$K177,IF(TRIM(formula!$K177)="",""," "),IF(formula!$A177=A178,L178,""))</f>
        <v>#VALUE!</v>
      </c>
    </row>
    <row r="178" customFormat="false" ht="15.65" hidden="false" customHeight="false" outlineLevel="0" collapsed="false">
      <c r="A178" s="1" t="s">
        <v>61</v>
      </c>
      <c r="B178" s="1" t="str">
        <f aca="false">IF(formula!$A178&lt;&gt;A177,formula!$A178,"")</f>
        <v>cotrimoxazole_tab</v>
      </c>
      <c r="C178" s="1" t="n">
        <v>0</v>
      </c>
      <c r="D178" s="1" t="n">
        <v>4</v>
      </c>
      <c r="E178" s="1" t="n">
        <v>0</v>
      </c>
      <c r="F178" s="1" t="n">
        <v>2</v>
      </c>
      <c r="G178" s="1" t="s">
        <v>56</v>
      </c>
      <c r="H178" s="2" t="str">
        <f aca="false">_xlfn.CONCAT(C178,":'",G178,"',")</f>
        <v>0:'--',</v>
      </c>
      <c r="I178" s="2" t="str">
        <f aca="false">_xlfn.CONCAT(E178,":'",G178,"',")</f>
        <v>0:'--',</v>
      </c>
      <c r="J178" s="2" t="str">
        <f aca="false">CONCATENATE("if(${p_weight}&gt;0,",formula!$H178,",",formula!$I178,")")</f>
        <v>if(${p_weight}&gt;0,0:'--',,0:'--',)</v>
      </c>
      <c r="K178" s="2" t="e">
        <f aca="false">GENERATEDRUGSTRING(formula!$C178,formula!$D178,formula!$G178,formula!$B$2:$B$19)</f>
        <v>#VALUE!</v>
      </c>
      <c r="L178" s="2" t="e">
        <f aca="false">CONCATENATE(formula!$K178,IF(TRIM(formula!$K178)="",""," "),IF(formula!$A178=A179,L179,""))</f>
        <v>#VALUE!</v>
      </c>
    </row>
    <row r="179" customFormat="false" ht="15.65" hidden="false" customHeight="false" outlineLevel="0" collapsed="false">
      <c r="A179" s="1" t="s">
        <v>61</v>
      </c>
      <c r="B179" s="1" t="str">
        <f aca="false">IF(formula!$A179&lt;&gt;A178,formula!$A179,"")</f>
        <v/>
      </c>
      <c r="C179" s="1" t="n">
        <v>4</v>
      </c>
      <c r="D179" s="1" t="n">
        <v>6</v>
      </c>
      <c r="E179" s="1" t="n">
        <v>2</v>
      </c>
      <c r="F179" s="1" t="n">
        <v>4</v>
      </c>
      <c r="G179" s="1" t="s">
        <v>23</v>
      </c>
      <c r="H179" s="2" t="str">
        <f aca="false">_xlfn.CONCAT(C179,":'",G179,"',")</f>
        <v>4:'1/4',</v>
      </c>
      <c r="I179" s="2" t="str">
        <f aca="false">_xlfn.CONCAT(E179,":'",G179,"',")</f>
        <v>2:'1/4',</v>
      </c>
      <c r="J179" s="2" t="str">
        <f aca="false">CONCATENATE("if(${p_weight}&gt;0,",formula!$H179,",",formula!$I179,")")</f>
        <v>if(${p_weight}&gt;0,4:'1/4',,2:'1/4',)</v>
      </c>
      <c r="K179" s="2" t="e">
        <f aca="false">GENERATEDRUGSTRING(formula!$C179,formula!$D179,formula!$G179,formula!$B$2:$B$19)</f>
        <v>#VALUE!</v>
      </c>
      <c r="L179" s="2" t="e">
        <f aca="false">CONCATENATE(formula!$K179,IF(TRIM(formula!$K179)="",""," "),IF(formula!$A179=A180,L180,""))</f>
        <v>#VALUE!</v>
      </c>
    </row>
    <row r="180" customFormat="false" ht="15.65" hidden="false" customHeight="false" outlineLevel="0" collapsed="false">
      <c r="A180" s="1" t="s">
        <v>61</v>
      </c>
      <c r="B180" s="1" t="str">
        <f aca="false">IF(formula!$A180&lt;&gt;A179,formula!$A180,"")</f>
        <v/>
      </c>
      <c r="C180" s="1" t="n">
        <v>6</v>
      </c>
      <c r="D180" s="1" t="n">
        <v>10</v>
      </c>
      <c r="E180" s="1" t="n">
        <v>4</v>
      </c>
      <c r="F180" s="1" t="n">
        <v>12</v>
      </c>
      <c r="G180" s="1" t="s">
        <v>24</v>
      </c>
      <c r="H180" s="2" t="str">
        <f aca="false">_xlfn.CONCAT(C180,":'",G180,"',")</f>
        <v>6:'1/2',</v>
      </c>
      <c r="I180" s="2" t="str">
        <f aca="false">_xlfn.CONCAT(E180,":'",G180,"',")</f>
        <v>4:'1/2',</v>
      </c>
      <c r="J180" s="2" t="str">
        <f aca="false">CONCATENATE("if(${p_weight}&gt;0,",formula!$H180,",",formula!$I180,")")</f>
        <v>if(${p_weight}&gt;0,6:'1/2',,4:'1/2',)</v>
      </c>
      <c r="K180" s="2" t="e">
        <f aca="false">GENERATEDRUGSTRING(formula!$C180,formula!$D180,formula!$G180,formula!$B$2:$B$19)</f>
        <v>#VALUE!</v>
      </c>
      <c r="L180" s="2" t="e">
        <f aca="false">CONCATENATE(formula!$K180,IF(TRIM(formula!$K180)="",""," "),IF(formula!$A180=A181,L181,""))</f>
        <v>#VALUE!</v>
      </c>
    </row>
    <row r="181" customFormat="false" ht="15.65" hidden="false" customHeight="false" outlineLevel="0" collapsed="false">
      <c r="A181" s="1" t="s">
        <v>61</v>
      </c>
      <c r="B181" s="1" t="str">
        <f aca="false">IF(formula!$A181&lt;&gt;A180,formula!$A181,"")</f>
        <v/>
      </c>
      <c r="C181" s="1" t="n">
        <v>10</v>
      </c>
      <c r="D181" s="1" t="n">
        <v>15</v>
      </c>
      <c r="E181" s="1" t="n">
        <v>12</v>
      </c>
      <c r="F181" s="1" t="n">
        <v>36</v>
      </c>
      <c r="G181" s="1" t="n">
        <v>1</v>
      </c>
      <c r="H181" s="2" t="str">
        <f aca="false">_xlfn.CONCAT(C181,":'",G181,"',")</f>
        <v>10:'1',</v>
      </c>
      <c r="I181" s="2" t="str">
        <f aca="false">_xlfn.CONCAT(E181,":'",G181,"',")</f>
        <v>12:'1',</v>
      </c>
      <c r="J181" s="2" t="str">
        <f aca="false">CONCATENATE("if(${p_weight}&gt;0,",formula!$H181,",",formula!$I181,")")</f>
        <v>if(${p_weight}&gt;0,10:'1',,12:'1',)</v>
      </c>
      <c r="K181" s="2" t="e">
        <f aca="false">GENERATEDRUGSTRING(formula!$C181,formula!$D181,formula!$G181,formula!$B$2:$B$19)</f>
        <v>#VALUE!</v>
      </c>
      <c r="L181" s="2" t="e">
        <f aca="false">CONCATENATE(formula!$K181,IF(TRIM(formula!$K181)="",""," "),IF(formula!$A181=A182,L182,""))</f>
        <v>#VALUE!</v>
      </c>
    </row>
    <row r="182" customFormat="false" ht="15.65" hidden="false" customHeight="false" outlineLevel="0" collapsed="false">
      <c r="A182" s="1" t="s">
        <v>61</v>
      </c>
      <c r="B182" s="1" t="str">
        <f aca="false">IF(formula!$A182&lt;&gt;A181,formula!$A182,"")</f>
        <v/>
      </c>
      <c r="C182" s="1" t="n">
        <v>15</v>
      </c>
      <c r="D182" s="1" t="n">
        <v>100</v>
      </c>
      <c r="E182" s="1" t="n">
        <v>36</v>
      </c>
      <c r="F182" s="1" t="n">
        <v>61</v>
      </c>
      <c r="G182" s="1" t="n">
        <v>1</v>
      </c>
      <c r="H182" s="2" t="str">
        <f aca="false">_xlfn.CONCAT(C182,":'",G182,"',")</f>
        <v>15:'1',</v>
      </c>
      <c r="I182" s="2" t="str">
        <f aca="false">_xlfn.CONCAT(E182,":'",G182,"',")</f>
        <v>36:'1',</v>
      </c>
      <c r="J182" s="2" t="str">
        <f aca="false">CONCATENATE("if(${p_weight}&gt;0,",formula!$H182,",",formula!$I182,")")</f>
        <v>if(${p_weight}&gt;0,15:'1',,36:'1',)</v>
      </c>
      <c r="K182" s="2" t="e">
        <f aca="false">GENERATEDRUGSTRING(formula!$C182,formula!$D182,formula!$G182,formula!$B$2:$B$19)</f>
        <v>#VALUE!</v>
      </c>
      <c r="L182" s="2" t="e">
        <f aca="false">CONCATENATE(formula!$K182,IF(TRIM(formula!$K182)="",""," "),IF(formula!$A182=A183,L183,""))</f>
        <v>#VALUE!</v>
      </c>
    </row>
    <row r="183" customFormat="false" ht="15.65" hidden="false" customHeight="false" outlineLevel="0" collapsed="false">
      <c r="A183" s="1" t="s">
        <v>62</v>
      </c>
      <c r="B183" s="1" t="str">
        <f aca="false">IF(formula!$A183&lt;&gt;A182,formula!$A183,"")</f>
        <v>ampicillin_ml</v>
      </c>
      <c r="C183" s="1" t="n">
        <v>0</v>
      </c>
      <c r="D183" s="1" t="n">
        <v>4</v>
      </c>
      <c r="E183" s="1" t="n">
        <v>0</v>
      </c>
      <c r="F183" s="1" t="n">
        <v>2</v>
      </c>
      <c r="G183" s="1" t="n">
        <v>0</v>
      </c>
      <c r="H183" s="2" t="str">
        <f aca="false">_xlfn.CONCAT(C183,":'",G183,"',")</f>
        <v>0:'0',</v>
      </c>
      <c r="I183" s="2" t="str">
        <f aca="false">_xlfn.CONCAT(E183,":'",G183,"',")</f>
        <v>0:'0',</v>
      </c>
      <c r="J183" s="2" t="str">
        <f aca="false">CONCATENATE("if(${p_weight}&gt;0,",formula!$H183,",",formula!$I183,")")</f>
        <v>if(${p_weight}&gt;0,0:'0',,0:'0',)</v>
      </c>
      <c r="K183" s="2" t="e">
        <f aca="false">GENERATEDRUGSTRING(formula!$C183,formula!$D183,formula!$G183,formula!$B$2:$B$19)</f>
        <v>#VALUE!</v>
      </c>
      <c r="L183" s="2" t="e">
        <f aca="false">CONCATENATE(formula!$K183,IF(TRIM(formula!$K183)="",""," "),IF(formula!$A183=A184,L184,""))</f>
        <v>#VALUE!</v>
      </c>
    </row>
    <row r="184" customFormat="false" ht="15.65" hidden="false" customHeight="false" outlineLevel="0" collapsed="false">
      <c r="A184" s="1" t="s">
        <v>62</v>
      </c>
      <c r="B184" s="1" t="str">
        <f aca="false">IF(formula!$A184&lt;&gt;A183,formula!$A184,"")</f>
        <v/>
      </c>
      <c r="C184" s="1" t="n">
        <v>4</v>
      </c>
      <c r="D184" s="1" t="n">
        <v>6</v>
      </c>
      <c r="E184" s="1" t="n">
        <v>2</v>
      </c>
      <c r="F184" s="1" t="n">
        <v>4</v>
      </c>
      <c r="G184" s="1" t="n">
        <v>1</v>
      </c>
      <c r="H184" s="2" t="str">
        <f aca="false">_xlfn.CONCAT(C184,":'",G184,"',")</f>
        <v>4:'1',</v>
      </c>
      <c r="I184" s="2" t="str">
        <f aca="false">_xlfn.CONCAT(E184,":'",G184,"',")</f>
        <v>2:'1',</v>
      </c>
      <c r="J184" s="2" t="str">
        <f aca="false">CONCATENATE("if(${p_weight}&gt;0,",formula!$H184,",",formula!$I184,")")</f>
        <v>if(${p_weight}&gt;0,4:'1',,2:'1',)</v>
      </c>
      <c r="K184" s="2" t="e">
        <f aca="false">GENERATEDRUGSTRING(formula!$C184,formula!$D184,formula!$G184,formula!$B$2:$B$19)</f>
        <v>#VALUE!</v>
      </c>
      <c r="L184" s="2" t="e">
        <f aca="false">CONCATENATE(formula!$K184,IF(TRIM(formula!$K184)="",""," "),IF(formula!$A184=A185,L185,""))</f>
        <v>#VALUE!</v>
      </c>
    </row>
    <row r="185" customFormat="false" ht="15.65" hidden="false" customHeight="false" outlineLevel="0" collapsed="false">
      <c r="A185" s="1" t="s">
        <v>62</v>
      </c>
      <c r="B185" s="1" t="str">
        <f aca="false">IF(formula!$A185&lt;&gt;A184,formula!$A185,"")</f>
        <v/>
      </c>
      <c r="C185" s="1" t="n">
        <v>6</v>
      </c>
      <c r="D185" s="1" t="n">
        <v>8</v>
      </c>
      <c r="E185" s="1" t="n">
        <v>4</v>
      </c>
      <c r="F185" s="1" t="n">
        <v>9</v>
      </c>
      <c r="G185" s="1" t="n">
        <v>1.5</v>
      </c>
      <c r="H185" s="2" t="str">
        <f aca="false">_xlfn.CONCAT(C185,":'",G185,"',")</f>
        <v>6:'1.5',</v>
      </c>
      <c r="I185" s="2" t="str">
        <f aca="false">_xlfn.CONCAT(E185,":'",G185,"',")</f>
        <v>4:'1.5',</v>
      </c>
      <c r="J185" s="2" t="str">
        <f aca="false">CONCATENATE("if(${p_weight}&gt;0,",formula!$H185,",",formula!$I185,")")</f>
        <v>if(${p_weight}&gt;0,6:'1.5',,4:'1.5',)</v>
      </c>
      <c r="K185" s="2" t="e">
        <f aca="false">GENERATEDRUGSTRING(formula!$C185,formula!$D185,formula!$G185,formula!$B$2:$B$19)</f>
        <v>#VALUE!</v>
      </c>
      <c r="L185" s="2" t="e">
        <f aca="false">CONCATENATE(formula!$K185,IF(TRIM(formula!$K185)="",""," "),IF(formula!$A185=A186,L186,""))</f>
        <v>#VALUE!</v>
      </c>
    </row>
    <row r="186" customFormat="false" ht="15.65" hidden="false" customHeight="false" outlineLevel="0" collapsed="false">
      <c r="A186" s="1" t="s">
        <v>62</v>
      </c>
      <c r="B186" s="1" t="str">
        <f aca="false">IF(formula!$A186&lt;&gt;A185,formula!$A186,"")</f>
        <v/>
      </c>
      <c r="C186" s="1" t="n">
        <v>8</v>
      </c>
      <c r="D186" s="1" t="n">
        <v>10</v>
      </c>
      <c r="E186" s="1" t="n">
        <v>9</v>
      </c>
      <c r="F186" s="1" t="n">
        <v>12</v>
      </c>
      <c r="G186" s="1" t="n">
        <v>2</v>
      </c>
      <c r="H186" s="2" t="str">
        <f aca="false">_xlfn.CONCAT(C186,":'",G186,"',")</f>
        <v>8:'2',</v>
      </c>
      <c r="I186" s="2" t="str">
        <f aca="false">_xlfn.CONCAT(E186,":'",G186,"',")</f>
        <v>9:'2',</v>
      </c>
      <c r="J186" s="2" t="str">
        <f aca="false">CONCATENATE("if(${p_weight}&gt;0,",formula!$H186,",",formula!$I186,")")</f>
        <v>if(${p_weight}&gt;0,8:'2',,9:'2',)</v>
      </c>
      <c r="K186" s="2" t="e">
        <f aca="false">GENERATEDRUGSTRING(formula!$C186,formula!$D186,formula!$G186,formula!$B$2:$B$19)</f>
        <v>#VALUE!</v>
      </c>
      <c r="L186" s="2" t="e">
        <f aca="false">CONCATENATE(formula!$K186,IF(TRIM(formula!$K186)="",""," "),IF(formula!$A186=A187,L187,""))</f>
        <v>#VALUE!</v>
      </c>
    </row>
    <row r="187" customFormat="false" ht="15.65" hidden="false" customHeight="false" outlineLevel="0" collapsed="false">
      <c r="A187" s="1" t="s">
        <v>62</v>
      </c>
      <c r="B187" s="1" t="str">
        <f aca="false">IF(formula!$A187&lt;&gt;A186,formula!$A187,"")</f>
        <v/>
      </c>
      <c r="C187" s="1" t="n">
        <v>10</v>
      </c>
      <c r="D187" s="1" t="n">
        <v>14</v>
      </c>
      <c r="E187" s="1" t="n">
        <v>12</v>
      </c>
      <c r="F187" s="1" t="n">
        <v>36</v>
      </c>
      <c r="G187" s="1" t="n">
        <v>3</v>
      </c>
      <c r="H187" s="2" t="str">
        <f aca="false">_xlfn.CONCAT(C187,":'",G187,"',")</f>
        <v>10:'3',</v>
      </c>
      <c r="I187" s="2" t="str">
        <f aca="false">_xlfn.CONCAT(E187,":'",G187,"',")</f>
        <v>12:'3',</v>
      </c>
      <c r="J187" s="2" t="str">
        <f aca="false">CONCATENATE("if(${p_weight}&gt;0,",formula!$H187,",",formula!$I187,")")</f>
        <v>if(${p_weight}&gt;0,10:'3',,12:'3',)</v>
      </c>
      <c r="K187" s="2" t="e">
        <f aca="false">GENERATEDRUGSTRING(formula!$C187,formula!$D187,formula!$G187,formula!$B$2:$B$19)</f>
        <v>#VALUE!</v>
      </c>
      <c r="L187" s="2" t="e">
        <f aca="false">CONCATENATE(formula!$K187,IF(TRIM(formula!$K187)="",""," "),IF(formula!$A187=A188,L188,""))</f>
        <v>#VALUE!</v>
      </c>
    </row>
    <row r="188" customFormat="false" ht="15.65" hidden="false" customHeight="false" outlineLevel="0" collapsed="false">
      <c r="A188" s="1" t="s">
        <v>62</v>
      </c>
      <c r="B188" s="1" t="str">
        <f aca="false">IF(formula!$A188&lt;&gt;A187,formula!$A188,"")</f>
        <v/>
      </c>
      <c r="C188" s="1" t="n">
        <v>14</v>
      </c>
      <c r="D188" s="1" t="n">
        <v>20</v>
      </c>
      <c r="E188" s="1" t="n">
        <v>36</v>
      </c>
      <c r="F188" s="1" t="n">
        <v>61</v>
      </c>
      <c r="G188" s="1" t="n">
        <v>5</v>
      </c>
      <c r="H188" s="2" t="str">
        <f aca="false">_xlfn.CONCAT(C188,":'",G188,"',")</f>
        <v>14:'5',</v>
      </c>
      <c r="I188" s="2" t="str">
        <f aca="false">_xlfn.CONCAT(E188,":'",G188,"',")</f>
        <v>36:'5',</v>
      </c>
      <c r="J188" s="2" t="str">
        <f aca="false">CONCATENATE("if(${p_weight}&gt;0,",formula!$H188,",",formula!$I188,")")</f>
        <v>if(${p_weight}&gt;0,14:'5',,36:'5',)</v>
      </c>
      <c r="K188" s="2" t="e">
        <f aca="false">GENERATEDRUGSTRING(formula!$C188,formula!$D188,formula!$G188,formula!$B$2:$B$19)</f>
        <v>#VALUE!</v>
      </c>
      <c r="L188" s="2" t="e">
        <f aca="false">CONCATENATE(formula!$K188,IF(TRIM(formula!$K188)="",""," "),IF(formula!$A188=A189,L189,""))</f>
        <v>#VALUE!</v>
      </c>
    </row>
    <row r="189" customFormat="false" ht="15.65" hidden="false" customHeight="false" outlineLevel="0" collapsed="false">
      <c r="A189" s="1" t="s">
        <v>62</v>
      </c>
      <c r="B189" s="1" t="str">
        <f aca="false">IF(formula!$A189&lt;&gt;A188,formula!$A189,"")</f>
        <v/>
      </c>
      <c r="C189" s="1" t="n">
        <v>20</v>
      </c>
      <c r="D189" s="1" t="n">
        <v>100</v>
      </c>
      <c r="E189" s="1" t="n">
        <v>61</v>
      </c>
      <c r="F189" s="1" t="n">
        <v>99</v>
      </c>
      <c r="G189" s="1" t="n">
        <v>6</v>
      </c>
      <c r="H189" s="2" t="str">
        <f aca="false">_xlfn.CONCAT(C189,":'",G189,"',")</f>
        <v>20:'6',</v>
      </c>
      <c r="I189" s="2" t="str">
        <f aca="false">_xlfn.CONCAT(E189,":'",G189,"',")</f>
        <v>61:'6',</v>
      </c>
      <c r="J189" s="2" t="str">
        <f aca="false">CONCATENATE("if(${p_weight}&gt;0,",formula!$H189,",",formula!$I189,")")</f>
        <v>if(${p_weight}&gt;0,20:'6',,61:'6',)</v>
      </c>
      <c r="K189" s="2" t="e">
        <f aca="false">GENERATEDRUGSTRING(formula!$C189,formula!$D189,formula!$G189,formula!$B$2:$B$19)</f>
        <v>#VALUE!</v>
      </c>
      <c r="L189" s="2" t="e">
        <f aca="false">CONCATENATE(formula!$K189,IF(TRIM(formula!$K189)="",""," "),IF(formula!$A189=A190,L190,""))</f>
        <v>#VALUE!</v>
      </c>
    </row>
    <row r="190" customFormat="false" ht="15.65" hidden="false" customHeight="false" outlineLevel="0" collapsed="false">
      <c r="A190" s="1" t="s">
        <v>63</v>
      </c>
      <c r="B190" s="1" t="str">
        <f aca="false">IF(formula!$A190&lt;&gt;A189,formula!$A190,"")</f>
        <v>amoxicillin_40_ml</v>
      </c>
      <c r="C190" s="1" t="n">
        <v>0</v>
      </c>
      <c r="D190" s="1" t="n">
        <v>3</v>
      </c>
      <c r="E190" s="1" t="n">
        <v>2</v>
      </c>
      <c r="F190" s="1" t="n">
        <v>4</v>
      </c>
      <c r="G190" s="1" t="s">
        <v>56</v>
      </c>
      <c r="H190" s="2" t="str">
        <f aca="false">_xlfn.CONCAT(C190,":'",G190,"',")</f>
        <v>0:'--',</v>
      </c>
      <c r="I190" s="2" t="str">
        <f aca="false">_xlfn.CONCAT(E190,":'",G190,"',")</f>
        <v>2:'--',</v>
      </c>
      <c r="J190" s="2" t="str">
        <f aca="false">CONCATENATE("if(${p_weight}&gt;0,",formula!$H190,",",formula!$I190,")")</f>
        <v>if(${p_weight}&gt;0,0:'--',,2:'--',)</v>
      </c>
      <c r="K190" s="2" t="e">
        <f aca="false">GENERATEDRUGSTRING(formula!$C190,formula!$D190,formula!$G190,formula!$B$2:$B$19)</f>
        <v>#VALUE!</v>
      </c>
      <c r="L190" s="2" t="e">
        <f aca="false">CONCATENATE(formula!$K190,IF(TRIM(formula!$K190)="",""," "),IF(formula!$A190=A191,L191,""))</f>
        <v>#VALUE!</v>
      </c>
    </row>
    <row r="191" customFormat="false" ht="15.65" hidden="false" customHeight="false" outlineLevel="0" collapsed="false">
      <c r="A191" s="1" t="s">
        <v>63</v>
      </c>
      <c r="B191" s="1" t="str">
        <f aca="false">IF(formula!$A191&lt;&gt;A190,formula!$A191,"")</f>
        <v/>
      </c>
      <c r="C191" s="1" t="n">
        <v>3</v>
      </c>
      <c r="D191" s="1" t="n">
        <v>6</v>
      </c>
      <c r="E191" s="1" t="n">
        <v>4</v>
      </c>
      <c r="F191" s="1" t="n">
        <v>12</v>
      </c>
      <c r="G191" s="1" t="n">
        <v>7.5</v>
      </c>
      <c r="H191" s="2" t="str">
        <f aca="false">_xlfn.CONCAT(C191,":'",G191,"',")</f>
        <v>3:'7.5',</v>
      </c>
      <c r="I191" s="2" t="str">
        <f aca="false">_xlfn.CONCAT(E191,":'",G191,"',")</f>
        <v>4:'7.5',</v>
      </c>
      <c r="J191" s="2" t="str">
        <f aca="false">CONCATENATE("if(${p_weight}&gt;0,",formula!$H191,",",formula!$I191,")")</f>
        <v>if(${p_weight}&gt;0,3:'7.5',,4:'7.5',)</v>
      </c>
      <c r="K191" s="2" t="e">
        <f aca="false">GENERATEDRUGSTRING(formula!$C191,formula!$D191,formula!$G191,formula!$B$2:$B$19)</f>
        <v>#VALUE!</v>
      </c>
      <c r="L191" s="2" t="e">
        <f aca="false">CONCATENATE(formula!$K191,IF(TRIM(formula!$K191)="",""," "),IF(formula!$A191=A192,L192,""))</f>
        <v>#VALUE!</v>
      </c>
    </row>
    <row r="192" customFormat="false" ht="15.65" hidden="false" customHeight="false" outlineLevel="0" collapsed="false">
      <c r="A192" s="1" t="s">
        <v>63</v>
      </c>
      <c r="B192" s="1" t="str">
        <f aca="false">IF(formula!$A192&lt;&gt;A191,formula!$A192,"")</f>
        <v/>
      </c>
      <c r="C192" s="1" t="n">
        <v>6</v>
      </c>
      <c r="D192" s="1" t="n">
        <v>10</v>
      </c>
      <c r="E192" s="1" t="n">
        <v>4</v>
      </c>
      <c r="F192" s="1" t="n">
        <v>12</v>
      </c>
      <c r="G192" s="1" t="n">
        <v>15</v>
      </c>
      <c r="H192" s="2" t="str">
        <f aca="false">_xlfn.CONCAT(C192,":'",G192,"',")</f>
        <v>6:'15',</v>
      </c>
      <c r="I192" s="2" t="str">
        <f aca="false">_xlfn.CONCAT(E192,":'",G192,"',")</f>
        <v>4:'15',</v>
      </c>
      <c r="J192" s="2" t="str">
        <f aca="false">CONCATENATE("if(${p_weight}&gt;0,",formula!$H192,",",formula!$I192,")")</f>
        <v>if(${p_weight}&gt;0,6:'15',,4:'15',)</v>
      </c>
      <c r="K192" s="2" t="e">
        <f aca="false">GENERATEDRUGSTRING(formula!$C192,formula!$D192,formula!$G192,formula!$B$2:$B$19)</f>
        <v>#VALUE!</v>
      </c>
      <c r="L192" s="2" t="e">
        <f aca="false">CONCATENATE(formula!$K192,IF(TRIM(formula!$K192)="",""," "),IF(formula!$A192=A193,L193,""))</f>
        <v>#VALUE!</v>
      </c>
    </row>
    <row r="193" customFormat="false" ht="15.65" hidden="false" customHeight="false" outlineLevel="0" collapsed="false">
      <c r="A193" s="1" t="s">
        <v>63</v>
      </c>
      <c r="B193" s="1" t="str">
        <f aca="false">IF(formula!$A193&lt;&gt;A192,formula!$A193,"")</f>
        <v/>
      </c>
      <c r="C193" s="1" t="n">
        <v>10</v>
      </c>
      <c r="D193" s="1" t="n">
        <v>15</v>
      </c>
      <c r="E193" s="1" t="n">
        <v>12</v>
      </c>
      <c r="F193" s="1" t="n">
        <v>36</v>
      </c>
      <c r="G193" s="1" t="n">
        <v>20</v>
      </c>
      <c r="H193" s="2" t="str">
        <f aca="false">_xlfn.CONCAT(C193,":'",G193,"',")</f>
        <v>10:'20',</v>
      </c>
      <c r="I193" s="2" t="str">
        <f aca="false">_xlfn.CONCAT(E193,":'",G193,"',")</f>
        <v>12:'20',</v>
      </c>
      <c r="J193" s="2" t="str">
        <f aca="false">CONCATENATE("if(${p_weight}&gt;0,",formula!$H193,",",formula!$I193,")")</f>
        <v>if(${p_weight}&gt;0,10:'20',,12:'20',)</v>
      </c>
      <c r="K193" s="2" t="e">
        <f aca="false">GENERATEDRUGSTRING(formula!$C193,formula!$D193,formula!$G193,formula!$B$2:$B$19)</f>
        <v>#VALUE!</v>
      </c>
      <c r="L193" s="2" t="e">
        <f aca="false">CONCATENATE(formula!$K193,IF(TRIM(formula!$K193)="",""," "),IF(formula!$A193=A194,L194,""))</f>
        <v>#VALUE!</v>
      </c>
    </row>
    <row r="194" customFormat="false" ht="15.65" hidden="false" customHeight="false" outlineLevel="0" collapsed="false">
      <c r="A194" s="1" t="s">
        <v>63</v>
      </c>
      <c r="B194" s="1" t="str">
        <f aca="false">IF(formula!$A194&lt;&gt;A193,formula!$A194,"")</f>
        <v/>
      </c>
      <c r="C194" s="1" t="n">
        <v>15</v>
      </c>
      <c r="D194" s="1" t="n">
        <v>20</v>
      </c>
      <c r="E194" s="1" t="n">
        <v>36</v>
      </c>
      <c r="F194" s="1" t="n">
        <v>60</v>
      </c>
      <c r="G194" s="1" t="n">
        <v>30</v>
      </c>
      <c r="H194" s="2" t="str">
        <f aca="false">_xlfn.CONCAT(C194,":'",G194,"',")</f>
        <v>15:'30',</v>
      </c>
      <c r="I194" s="2" t="str">
        <f aca="false">_xlfn.CONCAT(E194,":'",G194,"',")</f>
        <v>36:'30',</v>
      </c>
      <c r="J194" s="2" t="str">
        <f aca="false">CONCATENATE("if(${p_weight}&gt;0,",formula!$H194,",",formula!$I194,")")</f>
        <v>if(${p_weight}&gt;0,15:'30',,36:'30',)</v>
      </c>
      <c r="K194" s="2" t="e">
        <f aca="false">GENERATEDRUGSTRING(formula!$C194,formula!$D194,formula!$G194,formula!$B$2:$B$19)</f>
        <v>#VALUE!</v>
      </c>
      <c r="L194" s="2" t="e">
        <f aca="false">CONCATENATE(formula!$K194,IF(TRIM(formula!$K194)="",""," "),IF(formula!$A194=A195,L195,""))</f>
        <v>#VALUE!</v>
      </c>
    </row>
    <row r="195" customFormat="false" ht="15.65" hidden="false" customHeight="false" outlineLevel="0" collapsed="false">
      <c r="A195" s="1" t="s">
        <v>63</v>
      </c>
      <c r="B195" s="1" t="str">
        <f aca="false">IF(formula!$A195&lt;&gt;A194,formula!$A195,"")</f>
        <v/>
      </c>
      <c r="C195" s="1" t="n">
        <v>20</v>
      </c>
      <c r="D195" s="1" t="n">
        <v>100</v>
      </c>
      <c r="E195" s="1" t="n">
        <v>60</v>
      </c>
      <c r="F195" s="1" t="n">
        <v>100</v>
      </c>
      <c r="G195" s="1" t="s">
        <v>56</v>
      </c>
      <c r="H195" s="2" t="str">
        <f aca="false">_xlfn.CONCAT(C195,":'",G195,"',")</f>
        <v>20:'--',</v>
      </c>
      <c r="I195" s="2" t="str">
        <f aca="false">_xlfn.CONCAT(E195,":'",G195,"',")</f>
        <v>60:'--',</v>
      </c>
      <c r="J195" s="2" t="str">
        <f aca="false">CONCATENATE("if(${p_weight}&gt;0,",formula!$H195,",",formula!$I195,")")</f>
        <v>if(${p_weight}&gt;0,20:'--',,60:'--',)</v>
      </c>
      <c r="K195" s="2" t="e">
        <f aca="false">GENERATEDRUGSTRING(formula!$C195,formula!$D195,formula!$G195,formula!$B$2:$B$19)</f>
        <v>#VALUE!</v>
      </c>
      <c r="L195" s="2" t="e">
        <f aca="false">CONCATENATE(formula!$K195,IF(TRIM(formula!$K195)="",""," "),IF(formula!$A195=A196,L196,""))</f>
        <v>#VALUE!</v>
      </c>
    </row>
    <row r="196" customFormat="false" ht="15.65" hidden="false" customHeight="false" outlineLevel="0" collapsed="false">
      <c r="A196" s="1" t="s">
        <v>64</v>
      </c>
      <c r="B196" s="1" t="str">
        <f aca="false">IF(formula!$A196&lt;&gt;A195,formula!$A196,"")</f>
        <v>amoxicillin_40_tab</v>
      </c>
      <c r="C196" s="1" t="n">
        <v>0</v>
      </c>
      <c r="D196" s="1" t="n">
        <v>3</v>
      </c>
      <c r="E196" s="1" t="n">
        <v>2</v>
      </c>
      <c r="F196" s="1" t="n">
        <v>4</v>
      </c>
      <c r="G196" s="1" t="s">
        <v>56</v>
      </c>
      <c r="H196" s="2" t="str">
        <f aca="false">_xlfn.CONCAT(C196,":'",G196,"',")</f>
        <v>0:'--',</v>
      </c>
      <c r="I196" s="2" t="str">
        <f aca="false">_xlfn.CONCAT(E196,":'",G196,"',")</f>
        <v>2:'--',</v>
      </c>
      <c r="J196" s="2" t="str">
        <f aca="false">CONCATENATE("if(${p_weight}&gt;0,",formula!$H196,",",formula!$I196,")")</f>
        <v>if(${p_weight}&gt;0,0:'--',,2:'--',)</v>
      </c>
      <c r="K196" s="2" t="e">
        <f aca="false">GENERATEDRUGSTRING(formula!$C196,formula!$D196,formula!$G196,formula!$B$2:$B$19)</f>
        <v>#VALUE!</v>
      </c>
      <c r="L196" s="2" t="e">
        <f aca="false">CONCATENATE(formula!$K196,IF(TRIM(formula!$K196)="",""," "),IF(formula!$A196=A197,L197,""))</f>
        <v>#VALUE!</v>
      </c>
    </row>
    <row r="197" customFormat="false" ht="15.65" hidden="false" customHeight="false" outlineLevel="0" collapsed="false">
      <c r="A197" s="1" t="s">
        <v>64</v>
      </c>
      <c r="B197" s="1" t="str">
        <f aca="false">IF(formula!$A197&lt;&gt;A196,formula!$A197,"")</f>
        <v/>
      </c>
      <c r="C197" s="1" t="n">
        <v>3</v>
      </c>
      <c r="D197" s="1" t="n">
        <v>6</v>
      </c>
      <c r="E197" s="1" t="n">
        <v>4</v>
      </c>
      <c r="F197" s="1" t="n">
        <v>12</v>
      </c>
      <c r="G197" s="1" t="n">
        <v>1</v>
      </c>
      <c r="H197" s="2" t="str">
        <f aca="false">_xlfn.CONCAT(C197,":'",G197,"',")</f>
        <v>3:'1',</v>
      </c>
      <c r="I197" s="2" t="str">
        <f aca="false">_xlfn.CONCAT(E197,":'",G197,"',")</f>
        <v>4:'1',</v>
      </c>
      <c r="J197" s="2" t="str">
        <f aca="false">CONCATENATE("if(${p_weight}&gt;0,",formula!$H197,",",formula!$I197,")")</f>
        <v>if(${p_weight}&gt;0,3:'1',,4:'1',)</v>
      </c>
      <c r="K197" s="2" t="e">
        <f aca="false">GENERATEDRUGSTRING(formula!$C197,formula!$D197,formula!$G197,formula!$B$2:$B$19)</f>
        <v>#VALUE!</v>
      </c>
      <c r="L197" s="2" t="e">
        <f aca="false">CONCATENATE(formula!$K197,IF(TRIM(formula!$K197)="",""," "),IF(formula!$A197=A198,L198,""))</f>
        <v>#VALUE!</v>
      </c>
    </row>
    <row r="198" customFormat="false" ht="15.65" hidden="false" customHeight="false" outlineLevel="0" collapsed="false">
      <c r="A198" s="1" t="s">
        <v>64</v>
      </c>
      <c r="B198" s="1" t="str">
        <f aca="false">IF(formula!$A198&lt;&gt;A197,formula!$A198,"")</f>
        <v/>
      </c>
      <c r="C198" s="1" t="n">
        <v>6</v>
      </c>
      <c r="D198" s="1" t="n">
        <v>10</v>
      </c>
      <c r="E198" s="1" t="n">
        <v>4</v>
      </c>
      <c r="F198" s="1" t="n">
        <v>12</v>
      </c>
      <c r="G198" s="1" t="n">
        <v>1.5</v>
      </c>
      <c r="H198" s="2" t="str">
        <f aca="false">_xlfn.CONCAT(C198,":'",G198,"',")</f>
        <v>6:'1.5',</v>
      </c>
      <c r="I198" s="2" t="str">
        <f aca="false">_xlfn.CONCAT(E198,":'",G198,"',")</f>
        <v>4:'1.5',</v>
      </c>
      <c r="J198" s="2" t="str">
        <f aca="false">CONCATENATE("if(${p_weight}&gt;0,",formula!$H198,",",formula!$I198,")")</f>
        <v>if(${p_weight}&gt;0,6:'1.5',,4:'1.5',)</v>
      </c>
      <c r="K198" s="2" t="e">
        <f aca="false">GENERATEDRUGSTRING(formula!$C198,formula!$D198,formula!$G198,formula!$B$2:$B$19)</f>
        <v>#VALUE!</v>
      </c>
      <c r="L198" s="2" t="e">
        <f aca="false">CONCATENATE(formula!$K198,IF(TRIM(formula!$K198)="",""," "),IF(formula!$A198=A199,L199,""))</f>
        <v>#VALUE!</v>
      </c>
    </row>
    <row r="199" customFormat="false" ht="15.65" hidden="false" customHeight="false" outlineLevel="0" collapsed="false">
      <c r="A199" s="1" t="s">
        <v>64</v>
      </c>
      <c r="B199" s="1" t="str">
        <f aca="false">IF(formula!$A199&lt;&gt;A198,formula!$A199,"")</f>
        <v/>
      </c>
      <c r="C199" s="1" t="n">
        <v>10</v>
      </c>
      <c r="D199" s="1" t="n">
        <v>15</v>
      </c>
      <c r="E199" s="1" t="n">
        <v>12</v>
      </c>
      <c r="F199" s="1" t="n">
        <v>36</v>
      </c>
      <c r="G199" s="1" t="n">
        <v>2</v>
      </c>
      <c r="H199" s="2" t="str">
        <f aca="false">_xlfn.CONCAT(C199,":'",G199,"',")</f>
        <v>10:'2',</v>
      </c>
      <c r="I199" s="2" t="str">
        <f aca="false">_xlfn.CONCAT(E199,":'",G199,"',")</f>
        <v>12:'2',</v>
      </c>
      <c r="J199" s="2" t="str">
        <f aca="false">CONCATENATE("if(${p_weight}&gt;0,",formula!$H199,",",formula!$I199,")")</f>
        <v>if(${p_weight}&gt;0,10:'2',,12:'2',)</v>
      </c>
      <c r="K199" s="2" t="e">
        <f aca="false">GENERATEDRUGSTRING(formula!$C199,formula!$D199,formula!$G199,formula!$B$2:$B$19)</f>
        <v>#VALUE!</v>
      </c>
      <c r="L199" s="2" t="e">
        <f aca="false">CONCATENATE(formula!$K199,IF(TRIM(formula!$K199)="",""," "),IF(formula!$A199=A200,L200,""))</f>
        <v>#VALUE!</v>
      </c>
    </row>
    <row r="200" customFormat="false" ht="15.65" hidden="false" customHeight="false" outlineLevel="0" collapsed="false">
      <c r="A200" s="1" t="s">
        <v>64</v>
      </c>
      <c r="B200" s="1" t="str">
        <f aca="false">IF(formula!$A200&lt;&gt;A199,formula!$A200,"")</f>
        <v/>
      </c>
      <c r="C200" s="1" t="n">
        <v>15</v>
      </c>
      <c r="D200" s="1" t="n">
        <v>20</v>
      </c>
      <c r="E200" s="1" t="n">
        <v>36</v>
      </c>
      <c r="F200" s="1" t="n">
        <v>60</v>
      </c>
      <c r="G200" s="1" t="n">
        <v>3</v>
      </c>
      <c r="H200" s="2" t="str">
        <f aca="false">_xlfn.CONCAT(C200,":'",G200,"',")</f>
        <v>15:'3',</v>
      </c>
      <c r="I200" s="2" t="str">
        <f aca="false">_xlfn.CONCAT(E200,":'",G200,"',")</f>
        <v>36:'3',</v>
      </c>
      <c r="J200" s="2" t="str">
        <f aca="false">CONCATENATE("if(${p_weight}&gt;0,",formula!$H200,",",formula!$I200,")")</f>
        <v>if(${p_weight}&gt;0,15:'3',,36:'3',)</v>
      </c>
      <c r="K200" s="2" t="e">
        <f aca="false">GENERATEDRUGSTRING(formula!$C200,formula!$D200,formula!$G200,formula!$B$2:$B$19)</f>
        <v>#VALUE!</v>
      </c>
      <c r="L200" s="2" t="e">
        <f aca="false">CONCATENATE(formula!$K200,IF(TRIM(formula!$K200)="",""," "),IF(formula!$A200=A201,L201,""))</f>
        <v>#VALUE!</v>
      </c>
    </row>
    <row r="201" customFormat="false" ht="15.65" hidden="false" customHeight="false" outlineLevel="0" collapsed="false">
      <c r="A201" s="1" t="s">
        <v>64</v>
      </c>
      <c r="B201" s="1" t="str">
        <f aca="false">IF(formula!$A201&lt;&gt;A200,formula!$A201,"")</f>
        <v/>
      </c>
      <c r="C201" s="1" t="n">
        <v>20</v>
      </c>
      <c r="D201" s="1" t="n">
        <v>100</v>
      </c>
      <c r="E201" s="1" t="n">
        <v>60</v>
      </c>
      <c r="F201" s="1" t="n">
        <v>100</v>
      </c>
      <c r="G201" s="1" t="n">
        <v>4</v>
      </c>
      <c r="H201" s="2" t="str">
        <f aca="false">_xlfn.CONCAT(C201,":'",G201,"',")</f>
        <v>20:'4',</v>
      </c>
      <c r="I201" s="2" t="str">
        <f aca="false">_xlfn.CONCAT(E201,":'",G201,"',")</f>
        <v>60:'4',</v>
      </c>
      <c r="J201" s="2" t="str">
        <f aca="false">CONCATENATE("if(${p_weight}&gt;0,",formula!$H201,",",formula!$I201,")")</f>
        <v>if(${p_weight}&gt;0,20:'4',,60:'4',)</v>
      </c>
      <c r="K201" s="2" t="e">
        <f aca="false">GENERATEDRUGSTRING(formula!$C201,formula!$D201,formula!$G201,formula!$B$2:$B$19)</f>
        <v>#VALUE!</v>
      </c>
      <c r="L201" s="2" t="e">
        <f aca="false">CONCATENATE(formula!$K201,IF(TRIM(formula!$K201)="",""," "),IF(formula!$A201=A202,L202,""))</f>
        <v>#VALUE!</v>
      </c>
    </row>
    <row r="202" customFormat="false" ht="15.65" hidden="false" customHeight="false" outlineLevel="0" collapsed="false">
      <c r="A202" s="1" t="s">
        <v>65</v>
      </c>
      <c r="B202" s="1" t="str">
        <f aca="false">IF(formula!$A202&lt;&gt;A201,formula!$A202,"")</f>
        <v>amoxicillin_25_ml</v>
      </c>
      <c r="C202" s="1" t="n">
        <v>0</v>
      </c>
      <c r="D202" s="1" t="n">
        <v>3</v>
      </c>
      <c r="E202" s="1" t="n">
        <v>2</v>
      </c>
      <c r="F202" s="1" t="n">
        <v>4</v>
      </c>
      <c r="G202" s="1" t="s">
        <v>56</v>
      </c>
      <c r="H202" s="2" t="str">
        <f aca="false">_xlfn.CONCAT(C202,":'",G202,"',")</f>
        <v>0:'--',</v>
      </c>
      <c r="I202" s="2" t="str">
        <f aca="false">_xlfn.CONCAT(E202,":'",G202,"',")</f>
        <v>2:'--',</v>
      </c>
      <c r="J202" s="2" t="str">
        <f aca="false">CONCATENATE("if(${p_weight}&gt;0,",formula!$H202,",",formula!$I202,")")</f>
        <v>if(${p_weight}&gt;0,0:'--',,2:'--',)</v>
      </c>
      <c r="K202" s="2" t="e">
        <f aca="false">GENERATEDRUGSTRING(formula!$C202,formula!$D202,formula!$G202,formula!$B$2:$B$19)</f>
        <v>#VALUE!</v>
      </c>
      <c r="L202" s="2" t="e">
        <f aca="false">CONCATENATE(formula!$K202,IF(TRIM(formula!$K202)="",""," "),IF(formula!$A202=A203,L203,""))</f>
        <v>#VALUE!</v>
      </c>
    </row>
    <row r="203" customFormat="false" ht="15.65" hidden="false" customHeight="false" outlineLevel="0" collapsed="false">
      <c r="A203" s="1" t="s">
        <v>65</v>
      </c>
      <c r="B203" s="1" t="str">
        <f aca="false">IF(formula!$A203&lt;&gt;A202,formula!$A203,"")</f>
        <v/>
      </c>
      <c r="C203" s="1" t="n">
        <v>3</v>
      </c>
      <c r="D203" s="1" t="n">
        <v>6</v>
      </c>
      <c r="E203" s="1" t="n">
        <v>4</v>
      </c>
      <c r="F203" s="1" t="n">
        <v>12</v>
      </c>
      <c r="G203" s="1" t="s">
        <v>24</v>
      </c>
      <c r="H203" s="2" t="str">
        <f aca="false">_xlfn.CONCAT(C203,":'",G203,"',")</f>
        <v>3:'1/2',</v>
      </c>
      <c r="I203" s="2" t="str">
        <f aca="false">_xlfn.CONCAT(E203,":'",G203,"',")</f>
        <v>4:'1/2',</v>
      </c>
      <c r="J203" s="2" t="str">
        <f aca="false">CONCATENATE("if(${p_weight}&gt;0,",formula!$H203,",",formula!$I203,")")</f>
        <v>if(${p_weight}&gt;0,3:'1/2',,4:'1/2',)</v>
      </c>
      <c r="K203" s="2" t="e">
        <f aca="false">GENERATEDRUGSTRING(formula!$C203,formula!$D203,formula!$G203,formula!$B$2:$B$19)</f>
        <v>#VALUE!</v>
      </c>
      <c r="L203" s="2" t="e">
        <f aca="false">CONCATENATE(formula!$K203,IF(TRIM(formula!$K203)="",""," "),IF(formula!$A203=A204,L204,""))</f>
        <v>#VALUE!</v>
      </c>
    </row>
    <row r="204" customFormat="false" ht="15.65" hidden="false" customHeight="false" outlineLevel="0" collapsed="false">
      <c r="A204" s="1" t="s">
        <v>65</v>
      </c>
      <c r="B204" s="1" t="str">
        <f aca="false">IF(formula!$A204&lt;&gt;A203,formula!$A204,"")</f>
        <v/>
      </c>
      <c r="C204" s="1" t="n">
        <v>6</v>
      </c>
      <c r="D204" s="1" t="n">
        <v>10</v>
      </c>
      <c r="E204" s="1" t="n">
        <v>4</v>
      </c>
      <c r="F204" s="1" t="n">
        <v>12</v>
      </c>
      <c r="G204" s="1" t="n">
        <v>1</v>
      </c>
      <c r="H204" s="2" t="str">
        <f aca="false">_xlfn.CONCAT(C204,":'",G204,"',")</f>
        <v>6:'1',</v>
      </c>
      <c r="I204" s="2" t="str">
        <f aca="false">_xlfn.CONCAT(E204,":'",G204,"',")</f>
        <v>4:'1',</v>
      </c>
      <c r="J204" s="2" t="str">
        <f aca="false">CONCATENATE("if(${p_weight}&gt;0,",formula!$H204,",",formula!$I204,")")</f>
        <v>if(${p_weight}&gt;0,6:'1',,4:'1',)</v>
      </c>
      <c r="K204" s="2" t="e">
        <f aca="false">GENERATEDRUGSTRING(formula!$C204,formula!$D204,formula!$G204,formula!$B$2:$B$19)</f>
        <v>#VALUE!</v>
      </c>
      <c r="L204" s="2" t="e">
        <f aca="false">CONCATENATE(formula!$K204,IF(TRIM(formula!$K204)="",""," "),IF(formula!$A204=A205,L205,""))</f>
        <v>#VALUE!</v>
      </c>
    </row>
    <row r="205" customFormat="false" ht="15.65" hidden="false" customHeight="false" outlineLevel="0" collapsed="false">
      <c r="A205" s="1" t="s">
        <v>65</v>
      </c>
      <c r="B205" s="1" t="str">
        <f aca="false">IF(formula!$A205&lt;&gt;A204,formula!$A205,"")</f>
        <v/>
      </c>
      <c r="C205" s="1" t="n">
        <v>10</v>
      </c>
      <c r="D205" s="1" t="n">
        <v>15</v>
      </c>
      <c r="E205" s="1" t="n">
        <v>12</v>
      </c>
      <c r="F205" s="1" t="n">
        <v>36</v>
      </c>
      <c r="G205" s="1" t="n">
        <v>1.5</v>
      </c>
      <c r="H205" s="2" t="str">
        <f aca="false">_xlfn.CONCAT(C205,":'",G205,"',")</f>
        <v>10:'1.5',</v>
      </c>
      <c r="I205" s="2" t="str">
        <f aca="false">_xlfn.CONCAT(E205,":'",G205,"',")</f>
        <v>12:'1.5',</v>
      </c>
      <c r="J205" s="2" t="str">
        <f aca="false">CONCATENATE("if(${p_weight}&gt;0,",formula!$H205,",",formula!$I205,")")</f>
        <v>if(${p_weight}&gt;0,10:'1.5',,12:'1.5',)</v>
      </c>
      <c r="K205" s="2" t="e">
        <f aca="false">GENERATEDRUGSTRING(formula!$C205,formula!$D205,formula!$G205,formula!$B$2:$B$19)</f>
        <v>#VALUE!</v>
      </c>
      <c r="L205" s="2" t="e">
        <f aca="false">CONCATENATE(formula!$K205,IF(TRIM(formula!$K205)="",""," "),IF(formula!$A205=A206,L206,""))</f>
        <v>#VALUE!</v>
      </c>
    </row>
    <row r="206" customFormat="false" ht="15.65" hidden="false" customHeight="false" outlineLevel="0" collapsed="false">
      <c r="A206" s="1" t="s">
        <v>65</v>
      </c>
      <c r="B206" s="1" t="str">
        <f aca="false">IF(formula!$A206&lt;&gt;A205,formula!$A206,"")</f>
        <v/>
      </c>
      <c r="C206" s="1" t="n">
        <v>15</v>
      </c>
      <c r="D206" s="1" t="n">
        <v>20</v>
      </c>
      <c r="E206" s="1" t="n">
        <v>36</v>
      </c>
      <c r="F206" s="1" t="n">
        <v>60</v>
      </c>
      <c r="G206" s="1" t="n">
        <v>2</v>
      </c>
      <c r="H206" s="2" t="str">
        <f aca="false">_xlfn.CONCAT(C206,":'",G206,"',")</f>
        <v>15:'2',</v>
      </c>
      <c r="I206" s="2" t="str">
        <f aca="false">_xlfn.CONCAT(E206,":'",G206,"',")</f>
        <v>36:'2',</v>
      </c>
      <c r="J206" s="2" t="str">
        <f aca="false">CONCATENATE("if(${p_weight}&gt;0,",formula!$H206,",",formula!$I206,")")</f>
        <v>if(${p_weight}&gt;0,15:'2',,36:'2',)</v>
      </c>
      <c r="K206" s="2" t="e">
        <f aca="false">GENERATEDRUGSTRING(formula!$C206,formula!$D206,formula!$G206,formula!$B$2:$B$19)</f>
        <v>#VALUE!</v>
      </c>
      <c r="L206" s="2" t="e">
        <f aca="false">CONCATENATE(formula!$K206,IF(TRIM(formula!$K206)="",""," "),IF(formula!$A206=A207,L207,""))</f>
        <v>#VALUE!</v>
      </c>
    </row>
    <row r="207" customFormat="false" ht="15.65" hidden="false" customHeight="false" outlineLevel="0" collapsed="false">
      <c r="A207" s="1" t="s">
        <v>65</v>
      </c>
      <c r="B207" s="1" t="str">
        <f aca="false">IF(formula!$A207&lt;&gt;A206,formula!$A207,"")</f>
        <v/>
      </c>
      <c r="C207" s="1" t="n">
        <v>20</v>
      </c>
      <c r="D207" s="1" t="n">
        <v>100</v>
      </c>
      <c r="E207" s="1" t="n">
        <v>60</v>
      </c>
      <c r="F207" s="1" t="n">
        <v>100</v>
      </c>
      <c r="G207" s="1" t="n">
        <v>2.5</v>
      </c>
      <c r="H207" s="2" t="str">
        <f aca="false">_xlfn.CONCAT(C207,":'",G207,"',")</f>
        <v>20:'2.5',</v>
      </c>
      <c r="I207" s="2" t="str">
        <f aca="false">_xlfn.CONCAT(E207,":'",G207,"',")</f>
        <v>60:'2.5',</v>
      </c>
      <c r="J207" s="2" t="str">
        <f aca="false">CONCATENATE("if(${p_weight}&gt;0,",formula!$H207,",",formula!$I207,")")</f>
        <v>if(${p_weight}&gt;0,20:'2.5',,60:'2.5',)</v>
      </c>
      <c r="K207" s="2" t="e">
        <f aca="false">GENERATEDRUGSTRING(formula!$C207,formula!$D207,formula!$G207,formula!$B$2:$B$19)</f>
        <v>#VALUE!</v>
      </c>
      <c r="L207" s="2" t="e">
        <f aca="false">CONCATENATE(formula!$K207,IF(TRIM(formula!$K207)="",""," "),IF(formula!$A207=A208,L208,""))</f>
        <v>#VALUE!</v>
      </c>
    </row>
    <row r="208" customFormat="false" ht="15.65" hidden="false" customHeight="false" outlineLevel="0" collapsed="false">
      <c r="A208" s="1" t="s">
        <v>66</v>
      </c>
      <c r="B208" s="1" t="str">
        <f aca="false">IF(formula!$A208&lt;&gt;A207,formula!$A208,"")</f>
        <v>amoxicillin_25_tab</v>
      </c>
      <c r="C208" s="1" t="n">
        <v>0</v>
      </c>
      <c r="D208" s="1" t="n">
        <v>3</v>
      </c>
      <c r="E208" s="1" t="n">
        <v>2</v>
      </c>
      <c r="F208" s="1" t="n">
        <v>4</v>
      </c>
      <c r="G208" s="1" t="s">
        <v>56</v>
      </c>
      <c r="H208" s="2" t="str">
        <f aca="false">_xlfn.CONCAT(C208,":'",G208,"',")</f>
        <v>0:'--',</v>
      </c>
      <c r="I208" s="2" t="str">
        <f aca="false">_xlfn.CONCAT(E208,":'",G208,"',")</f>
        <v>2:'--',</v>
      </c>
      <c r="J208" s="2" t="str">
        <f aca="false">CONCATENATE("if(${p_weight}&gt;0,",formula!$H208,",",formula!$I208,")")</f>
        <v>if(${p_weight}&gt;0,0:'--',,2:'--',)</v>
      </c>
      <c r="K208" s="2" t="e">
        <f aca="false">GENERATEDRUGSTRING(formula!$C208,formula!$D208,formula!$G208,formula!$B$2:$B$19)</f>
        <v>#VALUE!</v>
      </c>
      <c r="L208" s="2" t="e">
        <f aca="false">CONCATENATE(formula!$K208,IF(TRIM(formula!$K208)="",""," "),IF(formula!$A208=A209,L209,""))</f>
        <v>#VALUE!</v>
      </c>
    </row>
    <row r="209" customFormat="false" ht="15.65" hidden="false" customHeight="false" outlineLevel="0" collapsed="false">
      <c r="A209" s="1" t="s">
        <v>66</v>
      </c>
      <c r="B209" s="1" t="str">
        <f aca="false">IF(formula!$A209&lt;&gt;A208,formula!$A209,"")</f>
        <v/>
      </c>
      <c r="C209" s="1" t="n">
        <v>3</v>
      </c>
      <c r="D209" s="1" t="n">
        <v>6</v>
      </c>
      <c r="E209" s="1" t="n">
        <v>4</v>
      </c>
      <c r="F209" s="1" t="n">
        <v>12</v>
      </c>
      <c r="G209" s="1" t="s">
        <v>24</v>
      </c>
      <c r="H209" s="2" t="str">
        <f aca="false">_xlfn.CONCAT(C209,":'",G209,"',")</f>
        <v>3:'1/2',</v>
      </c>
      <c r="I209" s="2" t="str">
        <f aca="false">_xlfn.CONCAT(E209,":'",G209,"',")</f>
        <v>4:'1/2',</v>
      </c>
      <c r="J209" s="2" t="str">
        <f aca="false">CONCATENATE("if(${p_weight}&gt;0,",formula!$H209,",",formula!$I209,")")</f>
        <v>if(${p_weight}&gt;0,3:'1/2',,4:'1/2',)</v>
      </c>
      <c r="K209" s="2" t="e">
        <f aca="false">GENERATEDRUGSTRING(formula!$C209,formula!$D209,formula!$G209,formula!$B$2:$B$19)</f>
        <v>#VALUE!</v>
      </c>
      <c r="L209" s="2" t="e">
        <f aca="false">CONCATENATE(formula!$K209,IF(TRIM(formula!$K209)="",""," "),IF(formula!$A209=A210,L210,""))</f>
        <v>#VALUE!</v>
      </c>
    </row>
    <row r="210" customFormat="false" ht="15.65" hidden="false" customHeight="false" outlineLevel="0" collapsed="false">
      <c r="A210" s="1" t="s">
        <v>66</v>
      </c>
      <c r="B210" s="1" t="str">
        <f aca="false">IF(formula!$A210&lt;&gt;A209,formula!$A210,"")</f>
        <v/>
      </c>
      <c r="C210" s="1" t="n">
        <v>6</v>
      </c>
      <c r="D210" s="1" t="n">
        <v>10</v>
      </c>
      <c r="E210" s="1" t="n">
        <v>4</v>
      </c>
      <c r="F210" s="1" t="n">
        <v>12</v>
      </c>
      <c r="G210" s="1" t="n">
        <v>1</v>
      </c>
      <c r="H210" s="2" t="str">
        <f aca="false">_xlfn.CONCAT(C210,":'",G210,"',")</f>
        <v>6:'1',</v>
      </c>
      <c r="I210" s="2" t="str">
        <f aca="false">_xlfn.CONCAT(E210,":'",G210,"',")</f>
        <v>4:'1',</v>
      </c>
      <c r="J210" s="2" t="str">
        <f aca="false">CONCATENATE("if(${p_weight}&gt;0,",formula!$H210,",",formula!$I210,")")</f>
        <v>if(${p_weight}&gt;0,6:'1',,4:'1',)</v>
      </c>
      <c r="K210" s="2" t="e">
        <f aca="false">GENERATEDRUGSTRING(formula!$C210,formula!$D210,formula!$G210,formula!$B$2:$B$19)</f>
        <v>#VALUE!</v>
      </c>
      <c r="L210" s="2" t="e">
        <f aca="false">CONCATENATE(formula!$K210,IF(TRIM(formula!$K210)="",""," "),IF(formula!$A210=A211,L211,""))</f>
        <v>#VALUE!</v>
      </c>
    </row>
    <row r="211" customFormat="false" ht="15.65" hidden="false" customHeight="false" outlineLevel="0" collapsed="false">
      <c r="A211" s="1" t="s">
        <v>66</v>
      </c>
      <c r="B211" s="1" t="str">
        <f aca="false">IF(formula!$A211&lt;&gt;A210,formula!$A211,"")</f>
        <v/>
      </c>
      <c r="C211" s="1" t="n">
        <v>10</v>
      </c>
      <c r="D211" s="1" t="n">
        <v>15</v>
      </c>
      <c r="E211" s="1" t="n">
        <v>12</v>
      </c>
      <c r="F211" s="1" t="n">
        <v>36</v>
      </c>
      <c r="G211" s="1" t="s">
        <v>67</v>
      </c>
      <c r="H211" s="2" t="str">
        <f aca="false">_xlfn.CONCAT(C211,":'",G211,"',")</f>
        <v>10:'1+1/2',</v>
      </c>
      <c r="I211" s="2" t="str">
        <f aca="false">_xlfn.CONCAT(E211,":'",G211,"',")</f>
        <v>12:'1+1/2',</v>
      </c>
      <c r="J211" s="2" t="str">
        <f aca="false">CONCATENATE("if(${p_weight}&gt;0,",formula!$H211,",",formula!$I211,")")</f>
        <v>if(${p_weight}&gt;0,10:'1+1/2',,12:'1+1/2',)</v>
      </c>
      <c r="K211" s="2" t="e">
        <f aca="false">GENERATEDRUGSTRING(formula!$C211,formula!$D211,formula!$G211,formula!$B$2:$B$19)</f>
        <v>#VALUE!</v>
      </c>
      <c r="L211" s="2" t="e">
        <f aca="false">CONCATENATE(formula!$K211,IF(TRIM(formula!$K211)="",""," "),IF(formula!$A211=A212,L212,""))</f>
        <v>#VALUE!</v>
      </c>
    </row>
    <row r="212" customFormat="false" ht="15.65" hidden="false" customHeight="false" outlineLevel="0" collapsed="false">
      <c r="A212" s="1" t="s">
        <v>66</v>
      </c>
      <c r="B212" s="1" t="str">
        <f aca="false">IF(formula!$A212&lt;&gt;A211,formula!$A212,"")</f>
        <v/>
      </c>
      <c r="C212" s="1" t="n">
        <v>15</v>
      </c>
      <c r="D212" s="1" t="n">
        <v>20</v>
      </c>
      <c r="E212" s="1" t="n">
        <v>36</v>
      </c>
      <c r="F212" s="1" t="n">
        <v>60</v>
      </c>
      <c r="G212" s="1" t="n">
        <v>2</v>
      </c>
      <c r="H212" s="2" t="str">
        <f aca="false">_xlfn.CONCAT(C212,":'",G212,"',")</f>
        <v>15:'2',</v>
      </c>
      <c r="I212" s="2" t="str">
        <f aca="false">_xlfn.CONCAT(E212,":'",G212,"',")</f>
        <v>36:'2',</v>
      </c>
      <c r="J212" s="2" t="str">
        <f aca="false">CONCATENATE("if(${p_weight}&gt;0,",formula!$H212,",",formula!$I212,")")</f>
        <v>if(${p_weight}&gt;0,15:'2',,36:'2',)</v>
      </c>
      <c r="K212" s="2" t="e">
        <f aca="false">GENERATEDRUGSTRING(formula!$C212,formula!$D212,formula!$G212,formula!$B$2:$B$19)</f>
        <v>#VALUE!</v>
      </c>
      <c r="L212" s="2" t="e">
        <f aca="false">CONCATENATE(formula!$K212,IF(TRIM(formula!$K212)="",""," "),IF(formula!$A212=A213,L213,""))</f>
        <v>#VALUE!</v>
      </c>
    </row>
    <row r="213" customFormat="false" ht="15.65" hidden="false" customHeight="false" outlineLevel="0" collapsed="false">
      <c r="A213" s="1" t="s">
        <v>66</v>
      </c>
      <c r="B213" s="1" t="str">
        <f aca="false">IF(formula!$A213&lt;&gt;A212,formula!$A213,"")</f>
        <v/>
      </c>
      <c r="C213" s="1" t="n">
        <v>20</v>
      </c>
      <c r="D213" s="1" t="n">
        <v>100</v>
      </c>
      <c r="E213" s="1" t="n">
        <v>60</v>
      </c>
      <c r="F213" s="1" t="n">
        <v>100</v>
      </c>
      <c r="G213" s="1" t="s">
        <v>68</v>
      </c>
      <c r="H213" s="2" t="str">
        <f aca="false">_xlfn.CONCAT(C213,":'",G213,"',")</f>
        <v>20:'2+1/5',</v>
      </c>
      <c r="I213" s="2" t="str">
        <f aca="false">_xlfn.CONCAT(E213,":'",G213,"',")</f>
        <v>60:'2+1/5',</v>
      </c>
      <c r="J213" s="2" t="str">
        <f aca="false">CONCATENATE("if(${p_weight}&gt;0,",formula!$H213,",",formula!$I213,")")</f>
        <v>if(${p_weight}&gt;0,20:'2+1/5',,60:'2+1/5',)</v>
      </c>
      <c r="K213" s="2" t="e">
        <f aca="false">GENERATEDRUGSTRING(formula!$C213,formula!$D213,formula!$G213,formula!$B$2:$B$19)</f>
        <v>#VALUE!</v>
      </c>
      <c r="L213" s="2" t="e">
        <f aca="false">CONCATENATE(formula!$K213,IF(TRIM(formula!$K213)="",""," "),IF(formula!$A213=A214,L214,""))</f>
        <v>#VALUE!</v>
      </c>
    </row>
    <row r="214" customFormat="false" ht="15.65" hidden="false" customHeight="false" outlineLevel="0" collapsed="false">
      <c r="A214" s="1" t="s">
        <v>69</v>
      </c>
      <c r="B214" s="1" t="str">
        <f aca="false">IF(formula!$A214&lt;&gt;A213,formula!$A214,"")</f>
        <v>azithromycin_tab</v>
      </c>
      <c r="C214" s="1" t="n">
        <v>0</v>
      </c>
      <c r="D214" s="1" t="n">
        <v>4</v>
      </c>
      <c r="E214" s="1" t="n">
        <v>0</v>
      </c>
      <c r="F214" s="1" t="n">
        <v>2</v>
      </c>
      <c r="G214" s="1" t="s">
        <v>56</v>
      </c>
      <c r="H214" s="2" t="str">
        <f aca="false">_xlfn.CONCAT(C214,":'",G214,"',")</f>
        <v>0:'--',</v>
      </c>
      <c r="I214" s="2" t="str">
        <f aca="false">_xlfn.CONCAT(E214,":'",G214,"',")</f>
        <v>0:'--',</v>
      </c>
      <c r="J214" s="2" t="str">
        <f aca="false">CONCATENATE("if(${p_weight}&gt;0,",formula!$H214,",",formula!$I214,")")</f>
        <v>if(${p_weight}&gt;0,0:'--',,0:'--',)</v>
      </c>
      <c r="K214" s="2" t="e">
        <f aca="false">GENERATEDRUGSTRING(formula!$C214,formula!$D214,formula!$G214,formula!$B$2:$B$19)</f>
        <v>#VALUE!</v>
      </c>
      <c r="L214" s="2" t="e">
        <f aca="false">CONCATENATE(formula!$K214,IF(TRIM(formula!$K214)="",""," "),IF(formula!$A214=A215,L215,""))</f>
        <v>#VALUE!</v>
      </c>
    </row>
    <row r="215" customFormat="false" ht="15.65" hidden="false" customHeight="false" outlineLevel="0" collapsed="false">
      <c r="A215" s="1" t="s">
        <v>69</v>
      </c>
      <c r="B215" s="1" t="str">
        <f aca="false">IF(formula!$A215&lt;&gt;A214,formula!$A215,"")</f>
        <v/>
      </c>
      <c r="C215" s="1" t="n">
        <v>4</v>
      </c>
      <c r="D215" s="1" t="n">
        <v>6</v>
      </c>
      <c r="E215" s="1" t="n">
        <v>2</v>
      </c>
      <c r="F215" s="1" t="n">
        <v>4</v>
      </c>
      <c r="G215" s="1" t="s">
        <v>56</v>
      </c>
      <c r="H215" s="2" t="str">
        <f aca="false">_xlfn.CONCAT(C215,":'",G215,"',")</f>
        <v>4:'--',</v>
      </c>
      <c r="I215" s="2" t="str">
        <f aca="false">_xlfn.CONCAT(E215,":'",G215,"',")</f>
        <v>2:'--',</v>
      </c>
      <c r="J215" s="2" t="str">
        <f aca="false">CONCATENATE("if(${p_weight}&gt;0,",formula!$H215,",",formula!$I215,")")</f>
        <v>if(${p_weight}&gt;0,4:'--',,2:'--',)</v>
      </c>
      <c r="K215" s="2" t="e">
        <f aca="false">GENERATEDRUGSTRING(formula!$C215,formula!$D215,formula!$G215,formula!$B$2:$B$19)</f>
        <v>#VALUE!</v>
      </c>
      <c r="L215" s="2" t="e">
        <f aca="false">CONCATENATE(formula!$K215,IF(TRIM(formula!$K215)="",""," "),IF(formula!$A215=A216,L216,""))</f>
        <v>#VALUE!</v>
      </c>
    </row>
    <row r="216" customFormat="false" ht="15.65" hidden="false" customHeight="false" outlineLevel="0" collapsed="false">
      <c r="A216" s="1" t="s">
        <v>69</v>
      </c>
      <c r="B216" s="1" t="str">
        <f aca="false">IF(formula!$A216&lt;&gt;A215,formula!$A216,"")</f>
        <v/>
      </c>
      <c r="C216" s="1" t="n">
        <v>6</v>
      </c>
      <c r="D216" s="1" t="n">
        <v>10</v>
      </c>
      <c r="E216" s="1" t="n">
        <v>4</v>
      </c>
      <c r="F216" s="1" t="n">
        <v>12</v>
      </c>
      <c r="G216" s="1" t="s">
        <v>24</v>
      </c>
      <c r="H216" s="2" t="str">
        <f aca="false">_xlfn.CONCAT(C216,":'",G216,"',")</f>
        <v>6:'1/2',</v>
      </c>
      <c r="I216" s="2" t="str">
        <f aca="false">_xlfn.CONCAT(E216,":'",G216,"',")</f>
        <v>4:'1/2',</v>
      </c>
      <c r="J216" s="2" t="str">
        <f aca="false">CONCATENATE("if(${p_weight}&gt;0,",formula!$H216,",",formula!$I216,")")</f>
        <v>if(${p_weight}&gt;0,6:'1/2',,4:'1/2',)</v>
      </c>
      <c r="K216" s="2" t="e">
        <f aca="false">GENERATEDRUGSTRING(formula!$C216,formula!$D216,formula!$G216,formula!$B$2:$B$19)</f>
        <v>#VALUE!</v>
      </c>
      <c r="L216" s="2" t="e">
        <f aca="false">CONCATENATE(formula!$K216,IF(TRIM(formula!$K216)="",""," "),IF(formula!$A216=A217,L217,""))</f>
        <v>#VALUE!</v>
      </c>
    </row>
    <row r="217" customFormat="false" ht="15.65" hidden="false" customHeight="false" outlineLevel="0" collapsed="false">
      <c r="A217" s="1" t="s">
        <v>69</v>
      </c>
      <c r="B217" s="1" t="str">
        <f aca="false">IF(formula!$A217&lt;&gt;A216,formula!$A217,"")</f>
        <v/>
      </c>
      <c r="C217" s="1" t="n">
        <v>10</v>
      </c>
      <c r="D217" s="1" t="n">
        <v>15</v>
      </c>
      <c r="E217" s="1" t="n">
        <v>12</v>
      </c>
      <c r="F217" s="1" t="n">
        <v>36</v>
      </c>
      <c r="G217" s="1" t="n">
        <v>1</v>
      </c>
      <c r="H217" s="2" t="str">
        <f aca="false">_xlfn.CONCAT(C217,":'",G217,"',")</f>
        <v>10:'1',</v>
      </c>
      <c r="I217" s="2" t="str">
        <f aca="false">_xlfn.CONCAT(E217,":'",G217,"',")</f>
        <v>12:'1',</v>
      </c>
      <c r="J217" s="2" t="str">
        <f aca="false">CONCATENATE("if(${p_weight}&gt;0,",formula!$H217,",",formula!$I217,")")</f>
        <v>if(${p_weight}&gt;0,10:'1',,12:'1',)</v>
      </c>
      <c r="K217" s="2" t="e">
        <f aca="false">GENERATEDRUGSTRING(formula!$C217,formula!$D217,formula!$G217,formula!$B$2:$B$19)</f>
        <v>#VALUE!</v>
      </c>
      <c r="L217" s="2" t="e">
        <f aca="false">CONCATENATE(formula!$K217,IF(TRIM(formula!$K217)="",""," "),IF(formula!$A217=A218,L218,""))</f>
        <v>#VALUE!</v>
      </c>
    </row>
    <row r="218" customFormat="false" ht="15.65" hidden="false" customHeight="false" outlineLevel="0" collapsed="false">
      <c r="A218" s="1" t="s">
        <v>69</v>
      </c>
      <c r="B218" s="1" t="str">
        <f aca="false">IF(formula!$A218&lt;&gt;A217,formula!$A218,"")</f>
        <v/>
      </c>
      <c r="C218" s="1" t="n">
        <v>15</v>
      </c>
      <c r="D218" s="1" t="n">
        <v>100</v>
      </c>
      <c r="E218" s="1" t="n">
        <v>36</v>
      </c>
      <c r="F218" s="1" t="n">
        <v>100</v>
      </c>
      <c r="G218" s="1" t="s">
        <v>67</v>
      </c>
      <c r="H218" s="2" t="str">
        <f aca="false">_xlfn.CONCAT(C218,":'",G218,"',")</f>
        <v>15:'1+1/2',</v>
      </c>
      <c r="I218" s="2" t="str">
        <f aca="false">_xlfn.CONCAT(E218,":'",G218,"',")</f>
        <v>36:'1+1/2',</v>
      </c>
      <c r="J218" s="2" t="str">
        <f aca="false">CONCATENATE("if(${p_weight}&gt;0,",formula!$H218,",",formula!$I218,")")</f>
        <v>if(${p_weight}&gt;0,15:'1+1/2',,36:'1+1/2',)</v>
      </c>
      <c r="K218" s="2" t="e">
        <f aca="false">GENERATEDRUGSTRING(formula!$C218,formula!$D218,formula!$G218,formula!$B$2:$B$19)</f>
        <v>#VALUE!</v>
      </c>
      <c r="L218" s="2" t="e">
        <f aca="false">CONCATENATE(formula!$K218,IF(TRIM(formula!$K218)="",""," "),IF(formula!$A218=A219,L219,""))</f>
        <v>#VALUE!</v>
      </c>
    </row>
    <row r="219" customFormat="false" ht="15.65" hidden="false" customHeight="false" outlineLevel="0" collapsed="false">
      <c r="A219" s="1" t="s">
        <v>70</v>
      </c>
      <c r="B219" s="1" t="str">
        <f aca="false">IF(formula!$A219&lt;&gt;A218,formula!$A219,"")</f>
        <v>azithromycin_ml</v>
      </c>
      <c r="C219" s="1" t="n">
        <v>0</v>
      </c>
      <c r="D219" s="1" t="n">
        <v>4</v>
      </c>
      <c r="E219" s="1" t="n">
        <v>0</v>
      </c>
      <c r="F219" s="1" t="n">
        <v>2</v>
      </c>
      <c r="G219" s="1" t="n">
        <v>0</v>
      </c>
      <c r="H219" s="2" t="str">
        <f aca="false">_xlfn.CONCAT(C219,":'",G219,"',")</f>
        <v>0:'0',</v>
      </c>
      <c r="I219" s="2" t="str">
        <f aca="false">_xlfn.CONCAT(E219,":'",G219,"',")</f>
        <v>0:'0',</v>
      </c>
      <c r="J219" s="2" t="str">
        <f aca="false">CONCATENATE("if(${p_weight}&gt;0,",formula!$H219,",",formula!$I219,")")</f>
        <v>if(${p_weight}&gt;0,0:'0',,0:'0',)</v>
      </c>
      <c r="K219" s="2" t="e">
        <f aca="false">GENERATEDRUGSTRING(formula!$C219,formula!$D219,formula!$G219,formula!$B$2:$B$19)</f>
        <v>#VALUE!</v>
      </c>
      <c r="L219" s="2" t="e">
        <f aca="false">CONCATENATE(formula!$K219,IF(TRIM(formula!$K219)="",""," "),IF(formula!$A219=A220,L220,""))</f>
        <v>#VALUE!</v>
      </c>
    </row>
    <row r="220" customFormat="false" ht="15.65" hidden="false" customHeight="false" outlineLevel="0" collapsed="false">
      <c r="A220" s="1" t="s">
        <v>70</v>
      </c>
      <c r="B220" s="1" t="str">
        <f aca="false">IF(formula!$A220&lt;&gt;A219,formula!$A220,"")</f>
        <v/>
      </c>
      <c r="C220" s="1" t="n">
        <v>4</v>
      </c>
      <c r="D220" s="1" t="n">
        <v>6</v>
      </c>
      <c r="E220" s="1" t="n">
        <v>2</v>
      </c>
      <c r="F220" s="1" t="n">
        <v>4</v>
      </c>
      <c r="G220" s="1" t="n">
        <v>2.5</v>
      </c>
      <c r="H220" s="2" t="str">
        <f aca="false">_xlfn.CONCAT(C220,":'",G220,"',")</f>
        <v>4:'2.5',</v>
      </c>
      <c r="I220" s="2" t="str">
        <f aca="false">_xlfn.CONCAT(E220,":'",G220,"',")</f>
        <v>2:'2.5',</v>
      </c>
      <c r="J220" s="2" t="str">
        <f aca="false">CONCATENATE("if(${p_weight}&gt;0,",formula!$H220,",",formula!$I220,")")</f>
        <v>if(${p_weight}&gt;0,4:'2.5',,2:'2.5',)</v>
      </c>
      <c r="K220" s="2" t="e">
        <f aca="false">GENERATEDRUGSTRING(formula!$C220,formula!$D220,formula!$G220,formula!$B$2:$B$19)</f>
        <v>#VALUE!</v>
      </c>
      <c r="L220" s="2" t="e">
        <f aca="false">CONCATENATE(formula!$K220,IF(TRIM(formula!$K220)="",""," "),IF(formula!$A220=A221,L221,""))</f>
        <v>#VALUE!</v>
      </c>
    </row>
    <row r="221" customFormat="false" ht="15.65" hidden="false" customHeight="false" outlineLevel="0" collapsed="false">
      <c r="A221" s="1" t="s">
        <v>70</v>
      </c>
      <c r="B221" s="1" t="str">
        <f aca="false">IF(formula!$A221&lt;&gt;A220,formula!$A221,"")</f>
        <v/>
      </c>
      <c r="C221" s="1" t="n">
        <v>6</v>
      </c>
      <c r="D221" s="1" t="n">
        <v>10</v>
      </c>
      <c r="E221" s="1" t="n">
        <v>4</v>
      </c>
      <c r="F221" s="1" t="n">
        <v>12</v>
      </c>
      <c r="G221" s="1" t="n">
        <v>4</v>
      </c>
      <c r="H221" s="2" t="str">
        <f aca="false">_xlfn.CONCAT(C221,":'",G221,"',")</f>
        <v>6:'4',</v>
      </c>
      <c r="I221" s="2" t="str">
        <f aca="false">_xlfn.CONCAT(E221,":'",G221,"',")</f>
        <v>4:'4',</v>
      </c>
      <c r="J221" s="2" t="str">
        <f aca="false">CONCATENATE("if(${p_weight}&gt;0,",formula!$H221,",",formula!$I221,")")</f>
        <v>if(${p_weight}&gt;0,6:'4',,4:'4',)</v>
      </c>
      <c r="K221" s="2" t="e">
        <f aca="false">GENERATEDRUGSTRING(formula!$C221,formula!$D221,formula!$G221,formula!$B$2:$B$19)</f>
        <v>#VALUE!</v>
      </c>
      <c r="L221" s="2" t="e">
        <f aca="false">CONCATENATE(formula!$K221,IF(TRIM(formula!$K221)="",""," "),IF(formula!$A221=A222,L222,""))</f>
        <v>#VALUE!</v>
      </c>
    </row>
    <row r="222" customFormat="false" ht="15.65" hidden="false" customHeight="false" outlineLevel="0" collapsed="false">
      <c r="A222" s="1" t="s">
        <v>70</v>
      </c>
      <c r="B222" s="1" t="str">
        <f aca="false">IF(formula!$A222&lt;&gt;A221,formula!$A222,"")</f>
        <v/>
      </c>
      <c r="C222" s="1" t="n">
        <v>10</v>
      </c>
      <c r="D222" s="1" t="n">
        <v>15</v>
      </c>
      <c r="E222" s="1" t="n">
        <v>12</v>
      </c>
      <c r="F222" s="1" t="n">
        <v>36</v>
      </c>
      <c r="G222" s="1" t="n">
        <v>5</v>
      </c>
      <c r="H222" s="2" t="str">
        <f aca="false">_xlfn.CONCAT(C222,":'",G222,"',")</f>
        <v>10:'5',</v>
      </c>
      <c r="I222" s="2" t="str">
        <f aca="false">_xlfn.CONCAT(E222,":'",G222,"',")</f>
        <v>12:'5',</v>
      </c>
      <c r="J222" s="2" t="str">
        <f aca="false">CONCATENATE("if(${p_weight}&gt;0,",formula!$H222,",",formula!$I222,")")</f>
        <v>if(${p_weight}&gt;0,10:'5',,12:'5',)</v>
      </c>
      <c r="K222" s="2" t="e">
        <f aca="false">GENERATEDRUGSTRING(formula!$C222,formula!$D222,formula!$G222,formula!$B$2:$B$19)</f>
        <v>#VALUE!</v>
      </c>
      <c r="L222" s="2" t="e">
        <f aca="false">CONCATENATE(formula!$K222,IF(TRIM(formula!$K222)="",""," "),IF(formula!$A222=A223,L223,""))</f>
        <v>#VALUE!</v>
      </c>
    </row>
    <row r="223" customFormat="false" ht="15.65" hidden="false" customHeight="false" outlineLevel="0" collapsed="false">
      <c r="A223" s="1" t="s">
        <v>70</v>
      </c>
      <c r="B223" s="1" t="str">
        <f aca="false">IF(formula!$A223&lt;&gt;A222,formula!$A223,"")</f>
        <v/>
      </c>
      <c r="C223" s="1" t="n">
        <v>15</v>
      </c>
      <c r="D223" s="1" t="n">
        <v>100</v>
      </c>
      <c r="E223" s="1" t="n">
        <v>36</v>
      </c>
      <c r="F223" s="1" t="n">
        <v>100</v>
      </c>
      <c r="G223" s="1" t="s">
        <v>56</v>
      </c>
      <c r="H223" s="2" t="str">
        <f aca="false">_xlfn.CONCAT(C223,":'",G223,"',")</f>
        <v>15:'--',</v>
      </c>
      <c r="I223" s="2" t="str">
        <f aca="false">_xlfn.CONCAT(E223,":'",G223,"',")</f>
        <v>36:'--',</v>
      </c>
      <c r="J223" s="2" t="str">
        <f aca="false">CONCATENATE("if(${p_weight}&gt;0,",formula!$H223,",",formula!$I223,")")</f>
        <v>if(${p_weight}&gt;0,15:'--',,36:'--',)</v>
      </c>
      <c r="K223" s="2" t="e">
        <f aca="false">GENERATEDRUGSTRING(formula!$C223,formula!$D223,formula!$G223,formula!$B$2:$B$19)</f>
        <v>#VALUE!</v>
      </c>
      <c r="L223" s="2" t="e">
        <f aca="false">CONCATENATE(formula!$K223,IF(TRIM(formula!$K223)="",""," "),IF(formula!$A223=A224,L224,""))</f>
        <v>#VALUE!</v>
      </c>
    </row>
    <row r="224" customFormat="false" ht="15" hidden="false" customHeight="false" outlineLevel="0" collapsed="false">
      <c r="H224" s="2"/>
      <c r="I224" s="2"/>
      <c r="J224" s="2"/>
      <c r="K224" s="2"/>
      <c r="L224" s="2"/>
    </row>
    <row r="225" customFormat="false" ht="15" hidden="false" customHeight="false" outlineLevel="0" collapsed="false">
      <c r="B225" s="5"/>
      <c r="H225" s="5"/>
      <c r="I225" s="5"/>
      <c r="J225" s="5"/>
      <c r="K225" s="2"/>
      <c r="L225" s="2"/>
    </row>
    <row r="226" customFormat="false" ht="15" hidden="false" customHeight="false" outlineLevel="0" collapsed="false">
      <c r="B226" s="2"/>
      <c r="H226" s="2"/>
      <c r="I226" s="2"/>
      <c r="J226" s="2"/>
      <c r="K226" s="2"/>
      <c r="L226" s="2"/>
    </row>
    <row r="227" customFormat="false" ht="15" hidden="false" customHeight="false" outlineLevel="0" collapsed="false">
      <c r="B227" s="2"/>
      <c r="H227" s="2"/>
      <c r="I227" s="2"/>
      <c r="J227" s="2"/>
      <c r="K227" s="2"/>
      <c r="L227" s="2"/>
    </row>
    <row r="228" customFormat="false" ht="15" hidden="false" customHeight="false" outlineLevel="0" collapsed="false">
      <c r="B228" s="2"/>
      <c r="H228" s="2"/>
      <c r="I228" s="2"/>
      <c r="J228" s="2"/>
      <c r="K228" s="2"/>
      <c r="L228" s="2"/>
    </row>
    <row r="229" customFormat="false" ht="15" hidden="false" customHeight="false" outlineLevel="0" collapsed="false">
      <c r="B229" s="2"/>
      <c r="H229" s="2"/>
      <c r="I229" s="2"/>
      <c r="J229" s="2"/>
      <c r="K229" s="2"/>
      <c r="L229" s="2"/>
    </row>
  </sheetData>
  <conditionalFormatting sqref="A224:L706 A25:L25 J26:K26 A26:G26">
    <cfRule type="expression" priority="2" aboveAverage="0" equalAverage="0" bottom="0" percent="0" rank="0" text="" dxfId="4">
      <formula>NOT($A25=$A24)</formula>
    </cfRule>
  </conditionalFormatting>
  <conditionalFormatting sqref="A225:J225">
    <cfRule type="expression" priority="3" aboveAverage="0" equalAverage="0" bottom="0" percent="0" rank="0" text="" dxfId="5">
      <formula>NOT($A225=$A215)</formula>
    </cfRule>
  </conditionalFormatting>
  <conditionalFormatting sqref="J62:L223 L26 A27:G61 J27:L61 H92:I92 A62:G223 H26:H223 I93:I223 I26:I91">
    <cfRule type="expression" priority="4" aboveAverage="0" equalAverage="0" bottom="0" percent="0" rank="0" text="" dxfId="6">
      <formula>NOT($A26=$A25)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F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5" activeCellId="0" sqref="F5"/>
    </sheetView>
  </sheetViews>
  <sheetFormatPr defaultColWidth="8.4921875" defaultRowHeight="15" zeroHeight="false" outlineLevelRow="0" outlineLevelCol="0"/>
  <cols>
    <col collapsed="false" customWidth="true" hidden="false" outlineLevel="0" max="2" min="2" style="0" width="12.5"/>
    <col collapsed="false" customWidth="true" hidden="false" outlineLevel="0" max="6" min="6" style="6" width="8.79"/>
    <col collapsed="false" customWidth="true" hidden="false" outlineLevel="0" max="10" min="10" style="6" width="8.79"/>
    <col collapsed="false" customWidth="true" hidden="false" outlineLevel="0" max="14" min="14" style="6" width="8.79"/>
    <col collapsed="false" customWidth="true" hidden="false" outlineLevel="0" max="18" min="18" style="6" width="8.79"/>
    <col collapsed="false" customWidth="true" hidden="false" outlineLevel="0" max="22" min="22" style="6" width="8.79"/>
    <col collapsed="false" customWidth="true" hidden="false" outlineLevel="0" max="26" min="26" style="6" width="8.79"/>
    <col collapsed="false" customWidth="true" hidden="false" outlineLevel="0" max="30" min="30" style="6" width="8.79"/>
  </cols>
  <sheetData>
    <row r="1" customFormat="false" ht="15" hidden="false" customHeight="false" outlineLevel="0" collapsed="false">
      <c r="C1" s="7" t="s">
        <v>71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</row>
    <row r="2" customFormat="false" ht="15" hidden="false" customHeight="false" outlineLevel="0" collapsed="false">
      <c r="A2" s="8" t="s">
        <v>72</v>
      </c>
      <c r="B2" s="8" t="s">
        <v>73</v>
      </c>
      <c r="C2" s="8" t="n">
        <v>1</v>
      </c>
      <c r="D2" s="8" t="n">
        <v>2</v>
      </c>
      <c r="E2" s="8" t="n">
        <v>3</v>
      </c>
      <c r="F2" s="9" t="n">
        <v>4</v>
      </c>
      <c r="G2" s="8" t="n">
        <v>5</v>
      </c>
      <c r="H2" s="8" t="n">
        <v>6</v>
      </c>
      <c r="I2" s="8" t="n">
        <v>7</v>
      </c>
      <c r="J2" s="9" t="n">
        <v>8</v>
      </c>
      <c r="K2" s="8" t="n">
        <v>9</v>
      </c>
      <c r="L2" s="8" t="n">
        <v>10</v>
      </c>
      <c r="M2" s="8" t="n">
        <v>11</v>
      </c>
      <c r="N2" s="9" t="n">
        <v>12</v>
      </c>
      <c r="O2" s="8" t="n">
        <v>13</v>
      </c>
      <c r="P2" s="8" t="n">
        <v>14</v>
      </c>
      <c r="Q2" s="8" t="n">
        <v>15</v>
      </c>
      <c r="R2" s="9" t="n">
        <v>16</v>
      </c>
      <c r="S2" s="8" t="n">
        <v>17</v>
      </c>
      <c r="T2" s="8" t="n">
        <v>18</v>
      </c>
      <c r="U2" s="8" t="n">
        <v>19</v>
      </c>
      <c r="V2" s="9" t="n">
        <v>20</v>
      </c>
      <c r="W2" s="8" t="n">
        <v>21</v>
      </c>
      <c r="X2" s="8" t="n">
        <v>22</v>
      </c>
      <c r="Y2" s="8" t="n">
        <v>23</v>
      </c>
      <c r="Z2" s="9" t="n">
        <v>24</v>
      </c>
      <c r="AA2" s="8" t="n">
        <v>25</v>
      </c>
      <c r="AB2" s="8" t="n">
        <v>26</v>
      </c>
      <c r="AC2" s="8" t="n">
        <v>27</v>
      </c>
      <c r="AD2" s="9" t="n">
        <v>28</v>
      </c>
      <c r="AE2" s="8" t="n">
        <v>29</v>
      </c>
      <c r="AF2" s="8" t="n">
        <v>30</v>
      </c>
    </row>
    <row r="3" customFormat="false" ht="15" hidden="false" customHeight="false" outlineLevel="0" collapsed="false">
      <c r="A3" s="8" t="n">
        <v>20</v>
      </c>
      <c r="B3" s="8" t="n">
        <v>125</v>
      </c>
      <c r="C3" s="0" t="n">
        <f aca="false">$B3/4*C$2/$A3</f>
        <v>1.5625</v>
      </c>
      <c r="D3" s="0" t="n">
        <f aca="false">$B3/4*D$2/$A3</f>
        <v>3.125</v>
      </c>
      <c r="E3" s="0" t="n">
        <f aca="false">$B3/4*E$2/$A3</f>
        <v>4.6875</v>
      </c>
      <c r="F3" s="6" t="n">
        <f aca="false">$B3/4*F$2/$A3</f>
        <v>6.25</v>
      </c>
      <c r="G3" s="0" t="n">
        <f aca="false">$B3/4*G$2/$A3</f>
        <v>7.8125</v>
      </c>
      <c r="H3" s="0" t="n">
        <f aca="false">$B3/4*H$2/$A3</f>
        <v>9.375</v>
      </c>
      <c r="I3" s="0" t="n">
        <f aca="false">$B3/4*I$2/$A3</f>
        <v>10.9375</v>
      </c>
      <c r="J3" s="6" t="n">
        <f aca="false">$B3/4*J$2/$A3</f>
        <v>12.5</v>
      </c>
      <c r="K3" s="0" t="n">
        <f aca="false">$B3/4*K$2/$A3</f>
        <v>14.0625</v>
      </c>
      <c r="L3" s="0" t="n">
        <f aca="false">$B3/4*L$2/$A3</f>
        <v>15.625</v>
      </c>
      <c r="M3" s="0" t="n">
        <f aca="false">$B3/4*M$2/$A3</f>
        <v>17.1875</v>
      </c>
      <c r="N3" s="6" t="n">
        <f aca="false">$B3/4*N$2/$A3</f>
        <v>18.75</v>
      </c>
      <c r="O3" s="0" t="n">
        <f aca="false">$B3/4*O$2/$A3</f>
        <v>20.3125</v>
      </c>
      <c r="P3" s="0" t="n">
        <f aca="false">$B3/4*P$2/$A3</f>
        <v>21.875</v>
      </c>
      <c r="Q3" s="0" t="n">
        <f aca="false">$B3/4*Q$2/$A3</f>
        <v>23.4375</v>
      </c>
      <c r="R3" s="6" t="n">
        <f aca="false">$B3/4*R$2/$A3</f>
        <v>25</v>
      </c>
      <c r="S3" s="0" t="n">
        <f aca="false">$B3/4*S$2/$A3</f>
        <v>26.5625</v>
      </c>
      <c r="T3" s="0" t="n">
        <f aca="false">$B3/4*T$2/$A3</f>
        <v>28.125</v>
      </c>
      <c r="U3" s="0" t="n">
        <f aca="false">$B3/4*U$2/$A3</f>
        <v>29.6875</v>
      </c>
      <c r="V3" s="6" t="n">
        <f aca="false">$B3/4*V$2/$A3</f>
        <v>31.25</v>
      </c>
      <c r="W3" s="0" t="n">
        <f aca="false">$B3/4*W$2/$A3</f>
        <v>32.8125</v>
      </c>
      <c r="X3" s="0" t="n">
        <f aca="false">$B3/4*X$2/$A3</f>
        <v>34.375</v>
      </c>
      <c r="Y3" s="0" t="n">
        <f aca="false">$B3/4*Y$2/$A3</f>
        <v>35.9375</v>
      </c>
      <c r="Z3" s="6" t="n">
        <f aca="false">$B3/4*Z$2/$A3</f>
        <v>37.5</v>
      </c>
      <c r="AA3" s="0" t="n">
        <f aca="false">$B3/4*AA$2/$A3</f>
        <v>39.0625</v>
      </c>
      <c r="AB3" s="0" t="n">
        <f aca="false">$B3/4*AB$2/$A3</f>
        <v>40.625</v>
      </c>
      <c r="AC3" s="0" t="n">
        <f aca="false">$B3/4*AC$2/$A3</f>
        <v>42.1875</v>
      </c>
      <c r="AD3" s="6" t="n">
        <f aca="false">$B3/4*AD$2/$A3</f>
        <v>43.75</v>
      </c>
      <c r="AE3" s="0" t="n">
        <f aca="false">$B3/4*AE$2/$A3</f>
        <v>45.3125</v>
      </c>
      <c r="AF3" s="0" t="n">
        <f aca="false">$B3/4*AF$2/$A3</f>
        <v>46.875</v>
      </c>
    </row>
    <row r="4" s="11" customFormat="true" ht="15" hidden="false" customHeight="false" outlineLevel="0" collapsed="false">
      <c r="A4" s="10" t="s">
        <v>74</v>
      </c>
      <c r="B4" s="10" t="s">
        <v>75</v>
      </c>
      <c r="D4" s="12" t="n">
        <f aca="false">(D$2-1)*$B3/4/D3</f>
        <v>10</v>
      </c>
      <c r="E4" s="12" t="n">
        <f aca="false">(E$2-1)*$B3/4/E3</f>
        <v>13.3333333333333</v>
      </c>
      <c r="F4" s="12" t="n">
        <f aca="false">(F$2-1)*$B3/4/F3</f>
        <v>15</v>
      </c>
      <c r="G4" s="12" t="n">
        <f aca="false">(G$2-1)*$B3/4/G3</f>
        <v>16</v>
      </c>
      <c r="H4" s="12" t="n">
        <f aca="false">(H$2-1)*$B3/4/H3</f>
        <v>16.6666666666667</v>
      </c>
      <c r="I4" s="12" t="n">
        <f aca="false">(I$2-1)*$B3/4/I3</f>
        <v>17.1428571428571</v>
      </c>
      <c r="J4" s="12" t="n">
        <f aca="false">(J$2-1)*$B3/4/J3</f>
        <v>17.5</v>
      </c>
      <c r="K4" s="12" t="n">
        <f aca="false">(K$2-1)*$B3/4/K3</f>
        <v>17.7777777777778</v>
      </c>
      <c r="L4" s="12" t="n">
        <f aca="false">(L$2-1)*$B3/4/L3</f>
        <v>18</v>
      </c>
      <c r="M4" s="12" t="n">
        <f aca="false">(M$2-1)*$B3/4/M3</f>
        <v>18.1818181818182</v>
      </c>
      <c r="N4" s="12" t="n">
        <f aca="false">(N$2-1)*$B3/4/N3</f>
        <v>18.3333333333333</v>
      </c>
      <c r="O4" s="12" t="n">
        <f aca="false">(O$2-1)*$B3/4/O3</f>
        <v>18.4615384615385</v>
      </c>
      <c r="P4" s="12" t="n">
        <f aca="false">(P$2-1)*$B3/4/P3</f>
        <v>18.5714285714286</v>
      </c>
      <c r="Q4" s="12" t="n">
        <f aca="false">(Q$2-1)*$B3/4/Q3</f>
        <v>18.6666666666667</v>
      </c>
      <c r="R4" s="12" t="n">
        <f aca="false">(R$2-1)*$B3/4/R3</f>
        <v>18.75</v>
      </c>
      <c r="S4" s="12" t="n">
        <f aca="false">(S$2-1)*$B3/4/S3</f>
        <v>18.8235294117647</v>
      </c>
      <c r="T4" s="12" t="n">
        <f aca="false">(T$2-1)*$B3/4/T3</f>
        <v>18.8888888888889</v>
      </c>
      <c r="U4" s="12" t="n">
        <f aca="false">(U$2-1)*$B3/4/U3</f>
        <v>18.9473684210526</v>
      </c>
      <c r="V4" s="12" t="n">
        <f aca="false">(V$2-1)*$B3/4/V3</f>
        <v>19</v>
      </c>
      <c r="W4" s="12" t="n">
        <f aca="false">(W$2-1)*$B3/4/W3</f>
        <v>19.047619047619</v>
      </c>
      <c r="X4" s="12" t="n">
        <f aca="false">(X$2-1)*$B3/4/X3</f>
        <v>19.0909090909091</v>
      </c>
      <c r="Y4" s="12" t="n">
        <f aca="false">(Y$2-1)*$B3/4/Y3</f>
        <v>19.1304347826087</v>
      </c>
      <c r="Z4" s="12" t="n">
        <f aca="false">(Z$2-1)*$B3/4/Z3</f>
        <v>19.1666666666667</v>
      </c>
      <c r="AA4" s="12" t="n">
        <f aca="false">(AA$2-1)*$B3/4/AA3</f>
        <v>19.2</v>
      </c>
      <c r="AB4" s="12" t="n">
        <f aca="false">(AB$2-1)*$B3/4/AB3</f>
        <v>19.2307692307692</v>
      </c>
      <c r="AC4" s="12" t="n">
        <f aca="false">(AC$2-1)*$B3/4/AC3</f>
        <v>19.2592592592593</v>
      </c>
      <c r="AD4" s="12" t="n">
        <f aca="false">(AD$2-1)*$B3/4/AD3</f>
        <v>19.2857142857143</v>
      </c>
      <c r="AE4" s="12" t="n">
        <f aca="false">(AE$2-1)*$B3/4/AE3</f>
        <v>19.3103448275862</v>
      </c>
      <c r="AF4" s="12" t="n">
        <f aca="false">(AF$2-1)*$B3/4/AF3</f>
        <v>19.3333333333333</v>
      </c>
    </row>
    <row r="5" customFormat="false" ht="15" hidden="false" customHeight="false" outlineLevel="0" collapsed="false">
      <c r="A5" s="8" t="n">
        <v>20</v>
      </c>
      <c r="B5" s="8" t="n">
        <v>500</v>
      </c>
      <c r="C5" s="0" t="n">
        <f aca="false">$B5/4*C$2/$A5</f>
        <v>6.25</v>
      </c>
      <c r="D5" s="0" t="n">
        <f aca="false">$B5/4*D$2/$A5</f>
        <v>12.5</v>
      </c>
      <c r="E5" s="0" t="n">
        <f aca="false">$B5/4*E$2/$A5</f>
        <v>18.75</v>
      </c>
      <c r="F5" s="6" t="n">
        <f aca="false">$B5/4*F$2/$A5</f>
        <v>25</v>
      </c>
      <c r="G5" s="0" t="n">
        <f aca="false">$B5/4*G$2/$A5</f>
        <v>31.25</v>
      </c>
      <c r="H5" s="0" t="n">
        <f aca="false">$B5/4*H$2/$A5</f>
        <v>37.5</v>
      </c>
      <c r="I5" s="0" t="n">
        <f aca="false">$B5/4*I$2/$A5</f>
        <v>43.75</v>
      </c>
      <c r="J5" s="6" t="n">
        <f aca="false">$B5/4*J$2/$A5</f>
        <v>50</v>
      </c>
      <c r="K5" s="0" t="n">
        <f aca="false">$B5/4*K$2/$A5</f>
        <v>56.25</v>
      </c>
      <c r="L5" s="0" t="n">
        <f aca="false">$B5/4*L$2/$A5</f>
        <v>62.5</v>
      </c>
      <c r="M5" s="0" t="n">
        <f aca="false">$B5/4*M$2/$A5</f>
        <v>68.75</v>
      </c>
      <c r="N5" s="6" t="n">
        <f aca="false">$B5/4*N$2/$A5</f>
        <v>75</v>
      </c>
      <c r="O5" s="0" t="n">
        <f aca="false">$B5/4*O$2/$A5</f>
        <v>81.25</v>
      </c>
      <c r="P5" s="0" t="n">
        <f aca="false">$B5/4*P$2/$A5</f>
        <v>87.5</v>
      </c>
      <c r="Q5" s="0" t="n">
        <f aca="false">$B5/4*Q$2/$A5</f>
        <v>93.75</v>
      </c>
      <c r="R5" s="6" t="n">
        <f aca="false">$B5/4*R$2/$A5</f>
        <v>100</v>
      </c>
      <c r="S5" s="0" t="n">
        <f aca="false">$B5/4*S$2/$A5</f>
        <v>106.25</v>
      </c>
      <c r="T5" s="0" t="n">
        <f aca="false">$B5/4*T$2/$A5</f>
        <v>112.5</v>
      </c>
      <c r="U5" s="0" t="n">
        <f aca="false">$B5/4*U$2/$A5</f>
        <v>118.75</v>
      </c>
      <c r="V5" s="6" t="n">
        <f aca="false">$B5/4*V$2/$A5</f>
        <v>125</v>
      </c>
      <c r="W5" s="0" t="n">
        <f aca="false">$B5/4*W$2/$A5</f>
        <v>131.25</v>
      </c>
      <c r="X5" s="0" t="n">
        <f aca="false">$B5/4*X$2/$A5</f>
        <v>137.5</v>
      </c>
      <c r="Y5" s="0" t="n">
        <f aca="false">$B5/4*Y$2/$A5</f>
        <v>143.75</v>
      </c>
      <c r="Z5" s="6" t="n">
        <f aca="false">$B5/4*Z$2/$A5</f>
        <v>150</v>
      </c>
      <c r="AA5" s="0" t="n">
        <f aca="false">$B5/4*AA$2/$A5</f>
        <v>156.25</v>
      </c>
      <c r="AB5" s="0" t="n">
        <f aca="false">$B5/4*AB$2/$A5</f>
        <v>162.5</v>
      </c>
      <c r="AC5" s="0" t="n">
        <f aca="false">$B5/4*AC$2/$A5</f>
        <v>168.75</v>
      </c>
      <c r="AD5" s="6" t="n">
        <f aca="false">$B5/4*AD$2/$A5</f>
        <v>175</v>
      </c>
      <c r="AE5" s="0" t="n">
        <f aca="false">$B5/4*AE$2/$A5</f>
        <v>181.25</v>
      </c>
      <c r="AF5" s="0" t="n">
        <f aca="false">$B5/4*AF$2/$A5</f>
        <v>187.5</v>
      </c>
    </row>
    <row r="6" customFormat="false" ht="15" hidden="false" customHeight="false" outlineLevel="0" collapsed="false">
      <c r="A6" s="10" t="s">
        <v>74</v>
      </c>
      <c r="B6" s="10" t="s">
        <v>75</v>
      </c>
      <c r="C6" s="11"/>
      <c r="D6" s="12" t="n">
        <f aca="false">(D$2-1)*$B5/4/D5</f>
        <v>10</v>
      </c>
      <c r="E6" s="12" t="n">
        <f aca="false">(E$2-1)*$B5/4/E5</f>
        <v>13.3333333333333</v>
      </c>
      <c r="F6" s="12" t="n">
        <f aca="false">(F$2-1)*$B5/4/F5</f>
        <v>15</v>
      </c>
      <c r="G6" s="12" t="n">
        <f aca="false">(G$2-1)*$B5/4/G5</f>
        <v>16</v>
      </c>
      <c r="H6" s="12" t="n">
        <f aca="false">(H$2-1)*$B5/4/H5</f>
        <v>16.6666666666667</v>
      </c>
      <c r="I6" s="12" t="n">
        <f aca="false">(I$2-1)*$B5/4/I5</f>
        <v>17.1428571428571</v>
      </c>
      <c r="J6" s="12" t="n">
        <f aca="false">(J$2-1)*$B5/4/J5</f>
        <v>17.5</v>
      </c>
      <c r="K6" s="12" t="n">
        <f aca="false">(K$2-1)*$B5/4/K5</f>
        <v>17.7777777777778</v>
      </c>
      <c r="L6" s="12" t="n">
        <f aca="false">(L$2-1)*$B5/4/L5</f>
        <v>18</v>
      </c>
      <c r="M6" s="12" t="n">
        <f aca="false">(M$2-1)*$B5/4/M5</f>
        <v>18.1818181818182</v>
      </c>
      <c r="N6" s="12" t="n">
        <f aca="false">(N$2-1)*$B5/4/N5</f>
        <v>18.3333333333333</v>
      </c>
      <c r="O6" s="12" t="n">
        <f aca="false">(O$2-1)*$B5/4/O5</f>
        <v>18.4615384615385</v>
      </c>
      <c r="P6" s="12" t="n">
        <f aca="false">(P$2-1)*$B5/4/P5</f>
        <v>18.5714285714286</v>
      </c>
      <c r="Q6" s="12" t="n">
        <f aca="false">(Q$2-1)*$B5/4/Q5</f>
        <v>18.6666666666667</v>
      </c>
      <c r="R6" s="12" t="n">
        <f aca="false">(R$2-1)*$B5/4/R5</f>
        <v>18.75</v>
      </c>
      <c r="S6" s="12" t="n">
        <f aca="false">(S$2-1)*$B5/4/S5</f>
        <v>18.8235294117647</v>
      </c>
      <c r="T6" s="12" t="n">
        <f aca="false">(T$2-1)*$B5/4/T5</f>
        <v>18.8888888888889</v>
      </c>
      <c r="U6" s="12" t="n">
        <f aca="false">(U$2-1)*$B5/4/U5</f>
        <v>18.9473684210526</v>
      </c>
      <c r="V6" s="12" t="n">
        <f aca="false">(V$2-1)*$B5/4/V5</f>
        <v>19</v>
      </c>
      <c r="W6" s="12" t="n">
        <f aca="false">(W$2-1)*$B5/4/W5</f>
        <v>19.047619047619</v>
      </c>
      <c r="X6" s="12" t="n">
        <f aca="false">(X$2-1)*$B5/4/X5</f>
        <v>19.0909090909091</v>
      </c>
      <c r="Y6" s="12" t="n">
        <f aca="false">(Y$2-1)*$B5/4/Y5</f>
        <v>19.1304347826087</v>
      </c>
      <c r="Z6" s="12" t="n">
        <f aca="false">(Z$2-1)*$B5/4/Z5</f>
        <v>19.1666666666667</v>
      </c>
      <c r="AA6" s="12" t="n">
        <f aca="false">(AA$2-1)*$B5/4/AA5</f>
        <v>19.2</v>
      </c>
      <c r="AB6" s="12" t="n">
        <f aca="false">(AB$2-1)*$B5/4/AB5</f>
        <v>19.2307692307692</v>
      </c>
      <c r="AC6" s="12" t="n">
        <f aca="false">(AC$2-1)*$B5/4/AC5</f>
        <v>19.2592592592593</v>
      </c>
      <c r="AD6" s="12" t="n">
        <f aca="false">(AD$2-1)*$B5/4/AD5</f>
        <v>19.2857142857143</v>
      </c>
      <c r="AE6" s="12" t="n">
        <f aca="false">(AE$2-1)*$B5/4/AE5</f>
        <v>19.3103448275862</v>
      </c>
      <c r="AF6" s="12" t="n">
        <f aca="false">(AF$2-1)*$B5/4/AF5</f>
        <v>19.3333333333333</v>
      </c>
    </row>
    <row r="7" customFormat="false" ht="15" hidden="false" customHeight="false" outlineLevel="0" collapsed="false">
      <c r="A7" s="8"/>
      <c r="B7" s="8"/>
    </row>
    <row r="8" customFormat="false" ht="15" hidden="false" customHeight="false" outlineLevel="0" collapsed="false">
      <c r="A8" s="8"/>
      <c r="B8" s="8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customFormat="false" ht="15" hidden="false" customHeight="false" outlineLevel="0" collapsed="false">
      <c r="A9" s="8"/>
      <c r="B9" s="8"/>
    </row>
    <row r="10" customFormat="false" ht="15" hidden="false" customHeight="false" outlineLevel="0" collapsed="false">
      <c r="A10" s="8"/>
      <c r="B10" s="8"/>
    </row>
    <row r="11" customFormat="false" ht="15" hidden="false" customHeight="false" outlineLevel="0" collapsed="false">
      <c r="A11" s="8"/>
      <c r="B11" s="8"/>
    </row>
    <row r="12" customFormat="false" ht="15" hidden="false" customHeight="false" outlineLevel="0" collapsed="false">
      <c r="A12" s="8"/>
      <c r="B12" s="8"/>
    </row>
    <row r="13" customFormat="false" ht="15" hidden="false" customHeight="false" outlineLevel="0" collapsed="false">
      <c r="A13" s="8"/>
      <c r="B13" s="8"/>
    </row>
    <row r="14" customFormat="false" ht="15" hidden="false" customHeight="false" outlineLevel="0" collapsed="false">
      <c r="A14" s="8"/>
      <c r="B14" s="8"/>
    </row>
    <row r="15" customFormat="false" ht="15" hidden="false" customHeight="false" outlineLevel="0" collapsed="false">
      <c r="A15" s="8"/>
      <c r="B15" s="8"/>
    </row>
    <row r="16" customFormat="false" ht="15" hidden="false" customHeight="false" outlineLevel="0" collapsed="false">
      <c r="A16" s="8"/>
      <c r="B16" s="8"/>
    </row>
    <row r="17" customFormat="false" ht="15" hidden="false" customHeight="false" outlineLevel="0" collapsed="false">
      <c r="A17" s="8"/>
      <c r="B17" s="8"/>
    </row>
    <row r="18" customFormat="false" ht="15" hidden="false" customHeight="false" outlineLevel="0" collapsed="false">
      <c r="A18" s="8"/>
      <c r="B18" s="8"/>
    </row>
    <row r="19" customFormat="false" ht="15" hidden="false" customHeight="false" outlineLevel="0" collapsed="false">
      <c r="A19" s="8"/>
      <c r="B19" s="8"/>
    </row>
    <row r="20" customFormat="false" ht="15" hidden="false" customHeight="false" outlineLevel="0" collapsed="false">
      <c r="A20" s="8"/>
      <c r="B20" s="8"/>
    </row>
    <row r="21" customFormat="false" ht="15" hidden="false" customHeight="false" outlineLevel="0" collapsed="false">
      <c r="A21" s="8"/>
      <c r="B21" s="8"/>
    </row>
    <row r="22" customFormat="false" ht="15" hidden="false" customHeight="false" outlineLevel="0" collapsed="false">
      <c r="A22" s="8"/>
      <c r="B22" s="8"/>
    </row>
    <row r="23" customFormat="false" ht="15" hidden="false" customHeight="false" outlineLevel="0" collapsed="false">
      <c r="A23" s="8"/>
      <c r="B23" s="8"/>
    </row>
    <row r="24" customFormat="false" ht="15" hidden="false" customHeight="false" outlineLevel="0" collapsed="false">
      <c r="A24" s="8"/>
      <c r="B24" s="8"/>
    </row>
    <row r="25" customFormat="false" ht="15" hidden="false" customHeight="false" outlineLevel="0" collapsed="false">
      <c r="A25" s="8"/>
      <c r="B25" s="8"/>
    </row>
    <row r="26" customFormat="false" ht="15" hidden="false" customHeight="false" outlineLevel="0" collapsed="false">
      <c r="A26" s="8"/>
      <c r="B26" s="8"/>
    </row>
    <row r="27" customFormat="false" ht="15" hidden="false" customHeight="false" outlineLevel="0" collapsed="false">
      <c r="A27" s="8"/>
      <c r="B27" s="8"/>
    </row>
    <row r="28" customFormat="false" ht="15" hidden="false" customHeight="false" outlineLevel="0" collapsed="false">
      <c r="A28" s="8"/>
      <c r="B28" s="8"/>
    </row>
    <row r="29" customFormat="false" ht="15" hidden="false" customHeight="false" outlineLevel="0" collapsed="false">
      <c r="A29" s="8"/>
      <c r="B29" s="8"/>
    </row>
    <row r="30" customFormat="false" ht="15" hidden="false" customHeight="false" outlineLevel="0" collapsed="false">
      <c r="A30" s="8"/>
      <c r="B30" s="8"/>
    </row>
    <row r="31" customFormat="false" ht="15" hidden="false" customHeight="false" outlineLevel="0" collapsed="false">
      <c r="A31" s="8"/>
      <c r="B31" s="8"/>
    </row>
    <row r="32" customFormat="false" ht="15" hidden="false" customHeight="false" outlineLevel="0" collapsed="false">
      <c r="A32" s="8"/>
      <c r="B32" s="8"/>
    </row>
    <row r="33" customFormat="false" ht="15" hidden="false" customHeight="false" outlineLevel="0" collapsed="false">
      <c r="A33" s="8"/>
      <c r="B33" s="8"/>
    </row>
    <row r="34" customFormat="false" ht="15" hidden="false" customHeight="false" outlineLevel="0" collapsed="false">
      <c r="A34" s="8"/>
      <c r="B34" s="8"/>
    </row>
    <row r="35" customFormat="false" ht="15" hidden="false" customHeight="false" outlineLevel="0" collapsed="false">
      <c r="A35" s="8"/>
      <c r="B35" s="8"/>
    </row>
    <row r="36" customFormat="false" ht="15" hidden="false" customHeight="false" outlineLevel="0" collapsed="false">
      <c r="A36" s="8"/>
      <c r="B36" s="8"/>
    </row>
    <row r="37" customFormat="false" ht="15" hidden="false" customHeight="false" outlineLevel="0" collapsed="false">
      <c r="A37" s="8"/>
      <c r="B37" s="8"/>
    </row>
    <row r="38" customFormat="false" ht="15" hidden="false" customHeight="false" outlineLevel="0" collapsed="false">
      <c r="A38" s="8"/>
      <c r="B38" s="8"/>
    </row>
    <row r="39" customFormat="false" ht="15" hidden="false" customHeight="false" outlineLevel="0" collapsed="false">
      <c r="A39" s="8"/>
      <c r="B39" s="8"/>
    </row>
  </sheetData>
  <mergeCells count="1">
    <mergeCell ref="C1:AF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2519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2011-04-25T12:27:36Z</dcterms:created>
  <dc:creator>Andrew Marder</dc:creator>
  <dc:description/>
  <dc:language>en-US</dc:language>
  <cp:lastModifiedBy/>
  <cp:lastPrinted>2020-09-02T12:09:46Z</cp:lastPrinted>
  <dcterms:modified xsi:type="dcterms:W3CDTF">2023-05-29T07:23:26Z</dcterms:modified>
  <cp:revision>73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